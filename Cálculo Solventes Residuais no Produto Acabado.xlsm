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0" windowWidth="20400" windowHeight="7620" tabRatio="880"/>
  </bookViews>
  <sheets>
    <sheet name="Solvente 1" sheetId="3" r:id="rId1"/>
    <sheet name="Solvente 2" sheetId="50" r:id="rId2"/>
    <sheet name="Solvente 3" sheetId="51" r:id="rId3"/>
    <sheet name="Solvente 4" sheetId="52" r:id="rId4"/>
    <sheet name="Solvente 5" sheetId="53" r:id="rId5"/>
    <sheet name="Solvente 6" sheetId="54" r:id="rId6"/>
    <sheet name="Solvente 7" sheetId="55" r:id="rId7"/>
    <sheet name="Solvente 8" sheetId="56" r:id="rId8"/>
    <sheet name="Solvente 9" sheetId="57" r:id="rId9"/>
    <sheet name="Solvente 10" sheetId="58" r:id="rId10"/>
    <sheet name="Solvente 11" sheetId="59" r:id="rId11"/>
    <sheet name="Solvente 12" sheetId="60" r:id="rId12"/>
    <sheet name="Solvente 13" sheetId="61" r:id="rId13"/>
    <sheet name="Solvente 14" sheetId="62" r:id="rId14"/>
    <sheet name="Solvente 15" sheetId="63" r:id="rId15"/>
    <sheet name="Solvente 16" sheetId="64" r:id="rId16"/>
    <sheet name="Solvente 17" sheetId="65" r:id="rId17"/>
    <sheet name="Solvente 18" sheetId="66" r:id="rId18"/>
  </sheets>
  <calcPr calcId="145621"/>
</workbook>
</file>

<file path=xl/calcChain.xml><?xml version="1.0" encoding="utf-8"?>
<calcChain xmlns="http://schemas.openxmlformats.org/spreadsheetml/2006/main">
  <c r="H25" i="66" l="1"/>
  <c r="F25" i="66"/>
  <c r="D25" i="66"/>
  <c r="E25" i="66" s="1"/>
  <c r="B25" i="66"/>
  <c r="H24" i="66"/>
  <c r="F24" i="66"/>
  <c r="E24" i="66"/>
  <c r="D24" i="66"/>
  <c r="B24" i="66"/>
  <c r="H23" i="66"/>
  <c r="F23" i="66"/>
  <c r="D23" i="66"/>
  <c r="E23" i="66" s="1"/>
  <c r="B23" i="66"/>
  <c r="H22" i="66"/>
  <c r="F22" i="66"/>
  <c r="E22" i="66"/>
  <c r="D22" i="66"/>
  <c r="B22" i="66"/>
  <c r="H21" i="66"/>
  <c r="F21" i="66"/>
  <c r="D21" i="66"/>
  <c r="E21" i="66" s="1"/>
  <c r="B21" i="66"/>
  <c r="H20" i="66"/>
  <c r="F20" i="66"/>
  <c r="E20" i="66"/>
  <c r="D20" i="66"/>
  <c r="B20" i="66"/>
  <c r="H19" i="66"/>
  <c r="F19" i="66"/>
  <c r="D19" i="66"/>
  <c r="E19" i="66" s="1"/>
  <c r="B19" i="66"/>
  <c r="H18" i="66"/>
  <c r="F18" i="66"/>
  <c r="E18" i="66"/>
  <c r="D18" i="66"/>
  <c r="B18" i="66"/>
  <c r="H17" i="66"/>
  <c r="F17" i="66"/>
  <c r="D17" i="66"/>
  <c r="E17" i="66" s="1"/>
  <c r="B17" i="66"/>
  <c r="H16" i="66"/>
  <c r="F16" i="66"/>
  <c r="E16" i="66"/>
  <c r="D16" i="66"/>
  <c r="B16" i="66"/>
  <c r="H15" i="66"/>
  <c r="F15" i="66"/>
  <c r="D15" i="66"/>
  <c r="E15" i="66" s="1"/>
  <c r="B15" i="66"/>
  <c r="H14" i="66"/>
  <c r="F14" i="66"/>
  <c r="E14" i="66"/>
  <c r="D14" i="66"/>
  <c r="B14" i="66"/>
  <c r="H13" i="66"/>
  <c r="F13" i="66"/>
  <c r="D13" i="66"/>
  <c r="E13" i="66" s="1"/>
  <c r="B13" i="66"/>
  <c r="H12" i="66"/>
  <c r="F12" i="66"/>
  <c r="E12" i="66"/>
  <c r="D12" i="66"/>
  <c r="B12" i="66"/>
  <c r="H11" i="66"/>
  <c r="F11" i="66"/>
  <c r="D11" i="66"/>
  <c r="E11" i="66" s="1"/>
  <c r="B11" i="66"/>
  <c r="H10" i="66"/>
  <c r="F10" i="66"/>
  <c r="E10" i="66"/>
  <c r="D10" i="66"/>
  <c r="B10" i="66"/>
  <c r="H9" i="66"/>
  <c r="F9" i="66"/>
  <c r="D9" i="66"/>
  <c r="E9" i="66" s="1"/>
  <c r="B9" i="66"/>
  <c r="H8" i="66"/>
  <c r="F8" i="66"/>
  <c r="E8" i="66"/>
  <c r="D8" i="66"/>
  <c r="B8" i="66"/>
  <c r="H7" i="66"/>
  <c r="F7" i="66"/>
  <c r="D7" i="66"/>
  <c r="E7" i="66" s="1"/>
  <c r="B7" i="66"/>
  <c r="F6" i="66"/>
  <c r="D6" i="66"/>
  <c r="B6" i="66"/>
  <c r="F2" i="66"/>
  <c r="E6" i="66" s="1"/>
  <c r="H6" i="66" s="1"/>
  <c r="H26" i="66" s="1"/>
  <c r="C2" i="66"/>
  <c r="B30" i="66" s="1"/>
  <c r="H25" i="65"/>
  <c r="F25" i="65"/>
  <c r="D25" i="65"/>
  <c r="E25" i="65" s="1"/>
  <c r="B25" i="65"/>
  <c r="H24" i="65"/>
  <c r="F24" i="65"/>
  <c r="D24" i="65"/>
  <c r="E24" i="65" s="1"/>
  <c r="B24" i="65"/>
  <c r="H23" i="65"/>
  <c r="F23" i="65"/>
  <c r="D23" i="65"/>
  <c r="E23" i="65" s="1"/>
  <c r="B23" i="65"/>
  <c r="H22" i="65"/>
  <c r="F22" i="65"/>
  <c r="D22" i="65"/>
  <c r="E22" i="65" s="1"/>
  <c r="B22" i="65"/>
  <c r="H21" i="65"/>
  <c r="F21" i="65"/>
  <c r="D21" i="65"/>
  <c r="E21" i="65" s="1"/>
  <c r="B21" i="65"/>
  <c r="H20" i="65"/>
  <c r="F20" i="65"/>
  <c r="D20" i="65"/>
  <c r="E20" i="65" s="1"/>
  <c r="B20" i="65"/>
  <c r="H19" i="65"/>
  <c r="F19" i="65"/>
  <c r="D19" i="65"/>
  <c r="E19" i="65" s="1"/>
  <c r="B19" i="65"/>
  <c r="H18" i="65"/>
  <c r="F18" i="65"/>
  <c r="D18" i="65"/>
  <c r="E18" i="65" s="1"/>
  <c r="B18" i="65"/>
  <c r="H17" i="65"/>
  <c r="F17" i="65"/>
  <c r="D17" i="65"/>
  <c r="E17" i="65" s="1"/>
  <c r="B17" i="65"/>
  <c r="H16" i="65"/>
  <c r="F16" i="65"/>
  <c r="D16" i="65"/>
  <c r="E16" i="65" s="1"/>
  <c r="B16" i="65"/>
  <c r="H15" i="65"/>
  <c r="F15" i="65"/>
  <c r="D15" i="65"/>
  <c r="E15" i="65" s="1"/>
  <c r="B15" i="65"/>
  <c r="H14" i="65"/>
  <c r="F14" i="65"/>
  <c r="D14" i="65"/>
  <c r="E14" i="65" s="1"/>
  <c r="B14" i="65"/>
  <c r="H13" i="65"/>
  <c r="F13" i="65"/>
  <c r="D13" i="65"/>
  <c r="E13" i="65" s="1"/>
  <c r="B13" i="65"/>
  <c r="H12" i="65"/>
  <c r="F12" i="65"/>
  <c r="D12" i="65"/>
  <c r="E12" i="65" s="1"/>
  <c r="B12" i="65"/>
  <c r="H11" i="65"/>
  <c r="F11" i="65"/>
  <c r="D11" i="65"/>
  <c r="E11" i="65" s="1"/>
  <c r="B11" i="65"/>
  <c r="H10" i="65"/>
  <c r="F10" i="65"/>
  <c r="D10" i="65"/>
  <c r="E10" i="65" s="1"/>
  <c r="B10" i="65"/>
  <c r="H9" i="65"/>
  <c r="F9" i="65"/>
  <c r="D9" i="65"/>
  <c r="E9" i="65" s="1"/>
  <c r="B9" i="65"/>
  <c r="H8" i="65"/>
  <c r="F8" i="65"/>
  <c r="D8" i="65"/>
  <c r="E8" i="65" s="1"/>
  <c r="B8" i="65"/>
  <c r="H7" i="65"/>
  <c r="F7" i="65"/>
  <c r="D7" i="65"/>
  <c r="E7" i="65" s="1"/>
  <c r="B7" i="65"/>
  <c r="F6" i="65"/>
  <c r="D6" i="65"/>
  <c r="E6" i="65" s="1"/>
  <c r="H6" i="65" s="1"/>
  <c r="H26" i="65" s="1"/>
  <c r="B6" i="65"/>
  <c r="F2" i="65"/>
  <c r="C2" i="65"/>
  <c r="B30" i="65" s="1"/>
  <c r="H25" i="64"/>
  <c r="F25" i="64"/>
  <c r="D25" i="64"/>
  <c r="E25" i="64" s="1"/>
  <c r="B25" i="64"/>
  <c r="H24" i="64"/>
  <c r="F24" i="64"/>
  <c r="D24" i="64"/>
  <c r="E24" i="64" s="1"/>
  <c r="B24" i="64"/>
  <c r="H23" i="64"/>
  <c r="F23" i="64"/>
  <c r="D23" i="64"/>
  <c r="E23" i="64" s="1"/>
  <c r="B23" i="64"/>
  <c r="H22" i="64"/>
  <c r="F22" i="64"/>
  <c r="E22" i="64"/>
  <c r="D22" i="64"/>
  <c r="B22" i="64"/>
  <c r="H21" i="64"/>
  <c r="F21" i="64"/>
  <c r="D21" i="64"/>
  <c r="E21" i="64" s="1"/>
  <c r="B21" i="64"/>
  <c r="H20" i="64"/>
  <c r="F20" i="64"/>
  <c r="D20" i="64"/>
  <c r="E20" i="64" s="1"/>
  <c r="B20" i="64"/>
  <c r="H19" i="64"/>
  <c r="F19" i="64"/>
  <c r="D19" i="64"/>
  <c r="E19" i="64" s="1"/>
  <c r="B19" i="64"/>
  <c r="H18" i="64"/>
  <c r="F18" i="64"/>
  <c r="E18" i="64"/>
  <c r="D18" i="64"/>
  <c r="B18" i="64"/>
  <c r="H17" i="64"/>
  <c r="F17" i="64"/>
  <c r="D17" i="64"/>
  <c r="E17" i="64" s="1"/>
  <c r="B17" i="64"/>
  <c r="H16" i="64"/>
  <c r="F16" i="64"/>
  <c r="D16" i="64"/>
  <c r="E16" i="64" s="1"/>
  <c r="B16" i="64"/>
  <c r="H15" i="64"/>
  <c r="F15" i="64"/>
  <c r="D15" i="64"/>
  <c r="E15" i="64" s="1"/>
  <c r="B15" i="64"/>
  <c r="H14" i="64"/>
  <c r="F14" i="64"/>
  <c r="E14" i="64"/>
  <c r="D14" i="64"/>
  <c r="B14" i="64"/>
  <c r="H13" i="64"/>
  <c r="F13" i="64"/>
  <c r="D13" i="64"/>
  <c r="E13" i="64" s="1"/>
  <c r="B13" i="64"/>
  <c r="H12" i="64"/>
  <c r="F12" i="64"/>
  <c r="D12" i="64"/>
  <c r="E12" i="64" s="1"/>
  <c r="B12" i="64"/>
  <c r="H11" i="64"/>
  <c r="F11" i="64"/>
  <c r="D11" i="64"/>
  <c r="E11" i="64" s="1"/>
  <c r="B11" i="64"/>
  <c r="H10" i="64"/>
  <c r="F10" i="64"/>
  <c r="E10" i="64"/>
  <c r="D10" i="64"/>
  <c r="B10" i="64"/>
  <c r="H9" i="64"/>
  <c r="F9" i="64"/>
  <c r="D9" i="64"/>
  <c r="E9" i="64" s="1"/>
  <c r="B9" i="64"/>
  <c r="H8" i="64"/>
  <c r="F8" i="64"/>
  <c r="D8" i="64"/>
  <c r="E8" i="64" s="1"/>
  <c r="B8" i="64"/>
  <c r="H7" i="64"/>
  <c r="F7" i="64"/>
  <c r="D7" i="64"/>
  <c r="E7" i="64" s="1"/>
  <c r="B7" i="64"/>
  <c r="F6" i="64"/>
  <c r="D6" i="64"/>
  <c r="B6" i="64"/>
  <c r="D5" i="64"/>
  <c r="F2" i="64"/>
  <c r="E6" i="64" s="1"/>
  <c r="H6" i="64" s="1"/>
  <c r="H26" i="64" s="1"/>
  <c r="C2" i="64"/>
  <c r="B30" i="64" s="1"/>
  <c r="H25" i="63"/>
  <c r="F25" i="63"/>
  <c r="E25" i="63"/>
  <c r="D25" i="63"/>
  <c r="B25" i="63"/>
  <c r="H24" i="63"/>
  <c r="F24" i="63"/>
  <c r="E24" i="63"/>
  <c r="D24" i="63"/>
  <c r="B24" i="63"/>
  <c r="H23" i="63"/>
  <c r="F23" i="63"/>
  <c r="D23" i="63"/>
  <c r="E23" i="63" s="1"/>
  <c r="B23" i="63"/>
  <c r="H22" i="63"/>
  <c r="F22" i="63"/>
  <c r="D22" i="63"/>
  <c r="E22" i="63" s="1"/>
  <c r="B22" i="63"/>
  <c r="H21" i="63"/>
  <c r="F21" i="63"/>
  <c r="E21" i="63"/>
  <c r="D21" i="63"/>
  <c r="B21" i="63"/>
  <c r="H20" i="63"/>
  <c r="F20" i="63"/>
  <c r="E20" i="63"/>
  <c r="D20" i="63"/>
  <c r="B20" i="63"/>
  <c r="H19" i="63"/>
  <c r="F19" i="63"/>
  <c r="D19" i="63"/>
  <c r="E19" i="63" s="1"/>
  <c r="B19" i="63"/>
  <c r="H18" i="63"/>
  <c r="F18" i="63"/>
  <c r="D18" i="63"/>
  <c r="E18" i="63" s="1"/>
  <c r="B18" i="63"/>
  <c r="H17" i="63"/>
  <c r="F17" i="63"/>
  <c r="D17" i="63"/>
  <c r="E17" i="63" s="1"/>
  <c r="B17" i="63"/>
  <c r="H16" i="63"/>
  <c r="F16" i="63"/>
  <c r="E16" i="63"/>
  <c r="D16" i="63"/>
  <c r="B16" i="63"/>
  <c r="H15" i="63"/>
  <c r="F15" i="63"/>
  <c r="D15" i="63"/>
  <c r="E15" i="63" s="1"/>
  <c r="B15" i="63"/>
  <c r="H14" i="63"/>
  <c r="F14" i="63"/>
  <c r="D14" i="63"/>
  <c r="E14" i="63" s="1"/>
  <c r="B14" i="63"/>
  <c r="H13" i="63"/>
  <c r="F13" i="63"/>
  <c r="D13" i="63"/>
  <c r="E13" i="63" s="1"/>
  <c r="B13" i="63"/>
  <c r="H12" i="63"/>
  <c r="F12" i="63"/>
  <c r="E12" i="63"/>
  <c r="D12" i="63"/>
  <c r="B12" i="63"/>
  <c r="H11" i="63"/>
  <c r="F11" i="63"/>
  <c r="D11" i="63"/>
  <c r="E11" i="63" s="1"/>
  <c r="B11" i="63"/>
  <c r="H10" i="63"/>
  <c r="F10" i="63"/>
  <c r="D10" i="63"/>
  <c r="E10" i="63" s="1"/>
  <c r="B10" i="63"/>
  <c r="H9" i="63"/>
  <c r="F9" i="63"/>
  <c r="D9" i="63"/>
  <c r="E9" i="63" s="1"/>
  <c r="B9" i="63"/>
  <c r="H8" i="63"/>
  <c r="F8" i="63"/>
  <c r="E8" i="63"/>
  <c r="D8" i="63"/>
  <c r="B8" i="63"/>
  <c r="H7" i="63"/>
  <c r="F7" i="63"/>
  <c r="D7" i="63"/>
  <c r="E7" i="63" s="1"/>
  <c r="B7" i="63"/>
  <c r="F6" i="63"/>
  <c r="D6" i="63"/>
  <c r="E6" i="63" s="1"/>
  <c r="H6" i="63" s="1"/>
  <c r="H26" i="63" s="1"/>
  <c r="B6" i="63"/>
  <c r="F2" i="63"/>
  <c r="C2" i="63"/>
  <c r="B30" i="63" s="1"/>
  <c r="H25" i="62"/>
  <c r="F25" i="62"/>
  <c r="D25" i="62"/>
  <c r="E25" i="62" s="1"/>
  <c r="B25" i="62"/>
  <c r="H24" i="62"/>
  <c r="F24" i="62"/>
  <c r="D24" i="62"/>
  <c r="E24" i="62" s="1"/>
  <c r="B24" i="62"/>
  <c r="H23" i="62"/>
  <c r="F23" i="62"/>
  <c r="D23" i="62"/>
  <c r="E23" i="62" s="1"/>
  <c r="B23" i="62"/>
  <c r="H22" i="62"/>
  <c r="F22" i="62"/>
  <c r="E22" i="62"/>
  <c r="D22" i="62"/>
  <c r="B22" i="62"/>
  <c r="H21" i="62"/>
  <c r="F21" i="62"/>
  <c r="D21" i="62"/>
  <c r="E21" i="62" s="1"/>
  <c r="B21" i="62"/>
  <c r="H20" i="62"/>
  <c r="F20" i="62"/>
  <c r="D20" i="62"/>
  <c r="E20" i="62" s="1"/>
  <c r="B20" i="62"/>
  <c r="H19" i="62"/>
  <c r="F19" i="62"/>
  <c r="D19" i="62"/>
  <c r="E19" i="62" s="1"/>
  <c r="B19" i="62"/>
  <c r="H18" i="62"/>
  <c r="F18" i="62"/>
  <c r="E18" i="62"/>
  <c r="D18" i="62"/>
  <c r="B18" i="62"/>
  <c r="H17" i="62"/>
  <c r="F17" i="62"/>
  <c r="D17" i="62"/>
  <c r="E17" i="62" s="1"/>
  <c r="B17" i="62"/>
  <c r="H16" i="62"/>
  <c r="F16" i="62"/>
  <c r="D16" i="62"/>
  <c r="E16" i="62" s="1"/>
  <c r="B16" i="62"/>
  <c r="H15" i="62"/>
  <c r="F15" i="62"/>
  <c r="D15" i="62"/>
  <c r="E15" i="62" s="1"/>
  <c r="B15" i="62"/>
  <c r="H14" i="62"/>
  <c r="F14" i="62"/>
  <c r="E14" i="62"/>
  <c r="D14" i="62"/>
  <c r="B14" i="62"/>
  <c r="H13" i="62"/>
  <c r="F13" i="62"/>
  <c r="D13" i="62"/>
  <c r="E13" i="62" s="1"/>
  <c r="B13" i="62"/>
  <c r="H12" i="62"/>
  <c r="F12" i="62"/>
  <c r="D12" i="62"/>
  <c r="E12" i="62" s="1"/>
  <c r="B12" i="62"/>
  <c r="H11" i="62"/>
  <c r="F11" i="62"/>
  <c r="D11" i="62"/>
  <c r="E11" i="62" s="1"/>
  <c r="B11" i="62"/>
  <c r="H10" i="62"/>
  <c r="F10" i="62"/>
  <c r="E10" i="62"/>
  <c r="D10" i="62"/>
  <c r="B10" i="62"/>
  <c r="H9" i="62"/>
  <c r="F9" i="62"/>
  <c r="D9" i="62"/>
  <c r="E9" i="62" s="1"/>
  <c r="B9" i="62"/>
  <c r="H8" i="62"/>
  <c r="F8" i="62"/>
  <c r="D8" i="62"/>
  <c r="E8" i="62" s="1"/>
  <c r="B8" i="62"/>
  <c r="H7" i="62"/>
  <c r="F7" i="62"/>
  <c r="D7" i="62"/>
  <c r="E7" i="62" s="1"/>
  <c r="B7" i="62"/>
  <c r="F6" i="62"/>
  <c r="D6" i="62"/>
  <c r="B6" i="62"/>
  <c r="D5" i="62"/>
  <c r="F2" i="62"/>
  <c r="E6" i="62" s="1"/>
  <c r="H6" i="62" s="1"/>
  <c r="H26" i="62" s="1"/>
  <c r="C2" i="62"/>
  <c r="B30" i="62" s="1"/>
  <c r="H25" i="61"/>
  <c r="F25" i="61"/>
  <c r="D25" i="61"/>
  <c r="E25" i="61" s="1"/>
  <c r="B25" i="61"/>
  <c r="H24" i="61"/>
  <c r="F24" i="61"/>
  <c r="E24" i="61"/>
  <c r="D24" i="61"/>
  <c r="B24" i="61"/>
  <c r="H23" i="61"/>
  <c r="F23" i="61"/>
  <c r="D23" i="61"/>
  <c r="E23" i="61" s="1"/>
  <c r="B23" i="61"/>
  <c r="H22" i="61"/>
  <c r="F22" i="61"/>
  <c r="D22" i="61"/>
  <c r="E22" i="61" s="1"/>
  <c r="B22" i="61"/>
  <c r="H21" i="61"/>
  <c r="F21" i="61"/>
  <c r="D21" i="61"/>
  <c r="E21" i="61" s="1"/>
  <c r="B21" i="61"/>
  <c r="H20" i="61"/>
  <c r="F20" i="61"/>
  <c r="E20" i="61"/>
  <c r="D20" i="61"/>
  <c r="B20" i="61"/>
  <c r="H19" i="61"/>
  <c r="F19" i="61"/>
  <c r="D19" i="61"/>
  <c r="E19" i="61" s="1"/>
  <c r="B19" i="61"/>
  <c r="H18" i="61"/>
  <c r="F18" i="61"/>
  <c r="D18" i="61"/>
  <c r="E18" i="61" s="1"/>
  <c r="B18" i="61"/>
  <c r="H17" i="61"/>
  <c r="F17" i="61"/>
  <c r="D17" i="61"/>
  <c r="E17" i="61" s="1"/>
  <c r="B17" i="61"/>
  <c r="H16" i="61"/>
  <c r="F16" i="61"/>
  <c r="E16" i="61"/>
  <c r="D16" i="61"/>
  <c r="B16" i="61"/>
  <c r="H15" i="61"/>
  <c r="F15" i="61"/>
  <c r="D15" i="61"/>
  <c r="E15" i="61" s="1"/>
  <c r="B15" i="61"/>
  <c r="H14" i="61"/>
  <c r="F14" i="61"/>
  <c r="D14" i="61"/>
  <c r="E14" i="61" s="1"/>
  <c r="B14" i="61"/>
  <c r="H13" i="61"/>
  <c r="F13" i="61"/>
  <c r="D13" i="61"/>
  <c r="E13" i="61" s="1"/>
  <c r="B13" i="61"/>
  <c r="H12" i="61"/>
  <c r="F12" i="61"/>
  <c r="E12" i="61"/>
  <c r="D12" i="61"/>
  <c r="B12" i="61"/>
  <c r="H11" i="61"/>
  <c r="F11" i="61"/>
  <c r="D11" i="61"/>
  <c r="E11" i="61" s="1"/>
  <c r="B11" i="61"/>
  <c r="H10" i="61"/>
  <c r="F10" i="61"/>
  <c r="D10" i="61"/>
  <c r="E10" i="61" s="1"/>
  <c r="B10" i="61"/>
  <c r="H9" i="61"/>
  <c r="F9" i="61"/>
  <c r="D9" i="61"/>
  <c r="E9" i="61" s="1"/>
  <c r="B9" i="61"/>
  <c r="H8" i="61"/>
  <c r="F8" i="61"/>
  <c r="E8" i="61"/>
  <c r="D8" i="61"/>
  <c r="B8" i="61"/>
  <c r="H7" i="61"/>
  <c r="F7" i="61"/>
  <c r="D7" i="61"/>
  <c r="E7" i="61" s="1"/>
  <c r="B7" i="61"/>
  <c r="F6" i="61"/>
  <c r="D6" i="61"/>
  <c r="E6" i="61" s="1"/>
  <c r="H6" i="61" s="1"/>
  <c r="H26" i="61" s="1"/>
  <c r="B6" i="61"/>
  <c r="F2" i="61"/>
  <c r="C2" i="61"/>
  <c r="B30" i="61" s="1"/>
  <c r="H25" i="60"/>
  <c r="F25" i="60"/>
  <c r="D25" i="60"/>
  <c r="E25" i="60" s="1"/>
  <c r="B25" i="60"/>
  <c r="H24" i="60"/>
  <c r="F24" i="60"/>
  <c r="D24" i="60"/>
  <c r="E24" i="60" s="1"/>
  <c r="B24" i="60"/>
  <c r="H23" i="60"/>
  <c r="F23" i="60"/>
  <c r="D23" i="60"/>
  <c r="E23" i="60" s="1"/>
  <c r="B23" i="60"/>
  <c r="H22" i="60"/>
  <c r="F22" i="60"/>
  <c r="E22" i="60"/>
  <c r="D22" i="60"/>
  <c r="B22" i="60"/>
  <c r="H21" i="60"/>
  <c r="F21" i="60"/>
  <c r="D21" i="60"/>
  <c r="E21" i="60" s="1"/>
  <c r="B21" i="60"/>
  <c r="H20" i="60"/>
  <c r="F20" i="60"/>
  <c r="D20" i="60"/>
  <c r="E20" i="60" s="1"/>
  <c r="B20" i="60"/>
  <c r="H19" i="60"/>
  <c r="F19" i="60"/>
  <c r="D19" i="60"/>
  <c r="E19" i="60" s="1"/>
  <c r="B19" i="60"/>
  <c r="H18" i="60"/>
  <c r="F18" i="60"/>
  <c r="E18" i="60"/>
  <c r="D18" i="60"/>
  <c r="B18" i="60"/>
  <c r="H17" i="60"/>
  <c r="F17" i="60"/>
  <c r="D17" i="60"/>
  <c r="E17" i="60" s="1"/>
  <c r="B17" i="60"/>
  <c r="H16" i="60"/>
  <c r="F16" i="60"/>
  <c r="D16" i="60"/>
  <c r="E16" i="60" s="1"/>
  <c r="B16" i="60"/>
  <c r="H15" i="60"/>
  <c r="F15" i="60"/>
  <c r="D15" i="60"/>
  <c r="E15" i="60" s="1"/>
  <c r="B15" i="60"/>
  <c r="H14" i="60"/>
  <c r="F14" i="60"/>
  <c r="E14" i="60"/>
  <c r="D14" i="60"/>
  <c r="B14" i="60"/>
  <c r="H13" i="60"/>
  <c r="F13" i="60"/>
  <c r="D13" i="60"/>
  <c r="E13" i="60" s="1"/>
  <c r="B13" i="60"/>
  <c r="H12" i="60"/>
  <c r="F12" i="60"/>
  <c r="D12" i="60"/>
  <c r="E12" i="60" s="1"/>
  <c r="B12" i="60"/>
  <c r="H11" i="60"/>
  <c r="F11" i="60"/>
  <c r="D11" i="60"/>
  <c r="E11" i="60" s="1"/>
  <c r="B11" i="60"/>
  <c r="H10" i="60"/>
  <c r="F10" i="60"/>
  <c r="E10" i="60"/>
  <c r="D10" i="60"/>
  <c r="B10" i="60"/>
  <c r="H9" i="60"/>
  <c r="F9" i="60"/>
  <c r="D9" i="60"/>
  <c r="E9" i="60" s="1"/>
  <c r="B9" i="60"/>
  <c r="H8" i="60"/>
  <c r="F8" i="60"/>
  <c r="D8" i="60"/>
  <c r="E8" i="60" s="1"/>
  <c r="B8" i="60"/>
  <c r="H7" i="60"/>
  <c r="F7" i="60"/>
  <c r="D7" i="60"/>
  <c r="E7" i="60" s="1"/>
  <c r="B7" i="60"/>
  <c r="F6" i="60"/>
  <c r="D6" i="60"/>
  <c r="B6" i="60"/>
  <c r="D5" i="60"/>
  <c r="F2" i="60"/>
  <c r="E6" i="60" s="1"/>
  <c r="H6" i="60" s="1"/>
  <c r="H26" i="60" s="1"/>
  <c r="C2" i="60"/>
  <c r="B30" i="60" s="1"/>
  <c r="H25" i="59"/>
  <c r="F25" i="59"/>
  <c r="D25" i="59"/>
  <c r="E25" i="59" s="1"/>
  <c r="B25" i="59"/>
  <c r="H24" i="59"/>
  <c r="F24" i="59"/>
  <c r="E24" i="59"/>
  <c r="D24" i="59"/>
  <c r="B24" i="59"/>
  <c r="H23" i="59"/>
  <c r="F23" i="59"/>
  <c r="D23" i="59"/>
  <c r="E23" i="59" s="1"/>
  <c r="B23" i="59"/>
  <c r="H22" i="59"/>
  <c r="F22" i="59"/>
  <c r="D22" i="59"/>
  <c r="E22" i="59" s="1"/>
  <c r="B22" i="59"/>
  <c r="H21" i="59"/>
  <c r="F21" i="59"/>
  <c r="D21" i="59"/>
  <c r="E21" i="59" s="1"/>
  <c r="B21" i="59"/>
  <c r="H20" i="59"/>
  <c r="F20" i="59"/>
  <c r="E20" i="59"/>
  <c r="D20" i="59"/>
  <c r="B20" i="59"/>
  <c r="H19" i="59"/>
  <c r="F19" i="59"/>
  <c r="D19" i="59"/>
  <c r="E19" i="59" s="1"/>
  <c r="B19" i="59"/>
  <c r="H18" i="59"/>
  <c r="F18" i="59"/>
  <c r="D18" i="59"/>
  <c r="E18" i="59" s="1"/>
  <c r="B18" i="59"/>
  <c r="H17" i="59"/>
  <c r="F17" i="59"/>
  <c r="D17" i="59"/>
  <c r="E17" i="59" s="1"/>
  <c r="B17" i="59"/>
  <c r="H16" i="59"/>
  <c r="F16" i="59"/>
  <c r="E16" i="59"/>
  <c r="D16" i="59"/>
  <c r="B16" i="59"/>
  <c r="H15" i="59"/>
  <c r="F15" i="59"/>
  <c r="D15" i="59"/>
  <c r="E15" i="59" s="1"/>
  <c r="B15" i="59"/>
  <c r="H14" i="59"/>
  <c r="F14" i="59"/>
  <c r="D14" i="59"/>
  <c r="E14" i="59" s="1"/>
  <c r="B14" i="59"/>
  <c r="H13" i="59"/>
  <c r="F13" i="59"/>
  <c r="D13" i="59"/>
  <c r="E13" i="59" s="1"/>
  <c r="B13" i="59"/>
  <c r="H12" i="59"/>
  <c r="F12" i="59"/>
  <c r="E12" i="59"/>
  <c r="D12" i="59"/>
  <c r="B12" i="59"/>
  <c r="H11" i="59"/>
  <c r="F11" i="59"/>
  <c r="D11" i="59"/>
  <c r="E11" i="59" s="1"/>
  <c r="B11" i="59"/>
  <c r="H10" i="59"/>
  <c r="F10" i="59"/>
  <c r="E10" i="59"/>
  <c r="D10" i="59"/>
  <c r="B10" i="59"/>
  <c r="H9" i="59"/>
  <c r="F9" i="59"/>
  <c r="D9" i="59"/>
  <c r="E9" i="59" s="1"/>
  <c r="B9" i="59"/>
  <c r="H8" i="59"/>
  <c r="F8" i="59"/>
  <c r="E8" i="59"/>
  <c r="D8" i="59"/>
  <c r="B8" i="59"/>
  <c r="H7" i="59"/>
  <c r="F7" i="59"/>
  <c r="D7" i="59"/>
  <c r="E7" i="59" s="1"/>
  <c r="B7" i="59"/>
  <c r="F6" i="59"/>
  <c r="D6" i="59"/>
  <c r="B6" i="59"/>
  <c r="F2" i="59"/>
  <c r="E6" i="59" s="1"/>
  <c r="H6" i="59" s="1"/>
  <c r="H26" i="59" s="1"/>
  <c r="C2" i="59"/>
  <c r="B30" i="59" s="1"/>
  <c r="H25" i="58"/>
  <c r="F25" i="58"/>
  <c r="D25" i="58"/>
  <c r="E25" i="58" s="1"/>
  <c r="B25" i="58"/>
  <c r="H24" i="58"/>
  <c r="F24" i="58"/>
  <c r="E24" i="58"/>
  <c r="D24" i="58"/>
  <c r="B24" i="58"/>
  <c r="H23" i="58"/>
  <c r="F23" i="58"/>
  <c r="D23" i="58"/>
  <c r="E23" i="58" s="1"/>
  <c r="B23" i="58"/>
  <c r="H22" i="58"/>
  <c r="F22" i="58"/>
  <c r="E22" i="58"/>
  <c r="D22" i="58"/>
  <c r="B22" i="58"/>
  <c r="H21" i="58"/>
  <c r="F21" i="58"/>
  <c r="D21" i="58"/>
  <c r="E21" i="58" s="1"/>
  <c r="B21" i="58"/>
  <c r="H20" i="58"/>
  <c r="F20" i="58"/>
  <c r="E20" i="58"/>
  <c r="D20" i="58"/>
  <c r="B20" i="58"/>
  <c r="H19" i="58"/>
  <c r="F19" i="58"/>
  <c r="D19" i="58"/>
  <c r="E19" i="58" s="1"/>
  <c r="B19" i="58"/>
  <c r="H18" i="58"/>
  <c r="F18" i="58"/>
  <c r="E18" i="58"/>
  <c r="D18" i="58"/>
  <c r="B18" i="58"/>
  <c r="H17" i="58"/>
  <c r="F17" i="58"/>
  <c r="D17" i="58"/>
  <c r="E17" i="58" s="1"/>
  <c r="B17" i="58"/>
  <c r="H16" i="58"/>
  <c r="F16" i="58"/>
  <c r="E16" i="58"/>
  <c r="D16" i="58"/>
  <c r="B16" i="58"/>
  <c r="H15" i="58"/>
  <c r="F15" i="58"/>
  <c r="D15" i="58"/>
  <c r="E15" i="58" s="1"/>
  <c r="B15" i="58"/>
  <c r="H14" i="58"/>
  <c r="F14" i="58"/>
  <c r="E14" i="58"/>
  <c r="D14" i="58"/>
  <c r="B14" i="58"/>
  <c r="H13" i="58"/>
  <c r="F13" i="58"/>
  <c r="D13" i="58"/>
  <c r="E13" i="58" s="1"/>
  <c r="B13" i="58"/>
  <c r="H12" i="58"/>
  <c r="F12" i="58"/>
  <c r="E12" i="58"/>
  <c r="D12" i="58"/>
  <c r="B12" i="58"/>
  <c r="H11" i="58"/>
  <c r="F11" i="58"/>
  <c r="D11" i="58"/>
  <c r="E11" i="58" s="1"/>
  <c r="B11" i="58"/>
  <c r="H10" i="58"/>
  <c r="F10" i="58"/>
  <c r="E10" i="58"/>
  <c r="D10" i="58"/>
  <c r="B10" i="58"/>
  <c r="H9" i="58"/>
  <c r="F9" i="58"/>
  <c r="D9" i="58"/>
  <c r="E9" i="58" s="1"/>
  <c r="B9" i="58"/>
  <c r="H8" i="58"/>
  <c r="F8" i="58"/>
  <c r="D8" i="58"/>
  <c r="B8" i="58"/>
  <c r="H7" i="58"/>
  <c r="F7" i="58"/>
  <c r="D7" i="58"/>
  <c r="E7" i="58" s="1"/>
  <c r="B7" i="58"/>
  <c r="F6" i="58"/>
  <c r="D6" i="58"/>
  <c r="B6" i="58"/>
  <c r="D5" i="58"/>
  <c r="F2" i="58"/>
  <c r="E8" i="58" s="1"/>
  <c r="C2" i="58"/>
  <c r="B30" i="58" s="1"/>
  <c r="H25" i="57"/>
  <c r="F25" i="57"/>
  <c r="E25" i="57"/>
  <c r="D25" i="57"/>
  <c r="B25" i="57"/>
  <c r="H24" i="57"/>
  <c r="F24" i="57"/>
  <c r="D24" i="57"/>
  <c r="E24" i="57" s="1"/>
  <c r="B24" i="57"/>
  <c r="H23" i="57"/>
  <c r="F23" i="57"/>
  <c r="D23" i="57"/>
  <c r="E23" i="57" s="1"/>
  <c r="B23" i="57"/>
  <c r="H22" i="57"/>
  <c r="F22" i="57"/>
  <c r="D22" i="57"/>
  <c r="E22" i="57" s="1"/>
  <c r="B22" i="57"/>
  <c r="H21" i="57"/>
  <c r="F21" i="57"/>
  <c r="E21" i="57"/>
  <c r="D21" i="57"/>
  <c r="B21" i="57"/>
  <c r="H20" i="57"/>
  <c r="F20" i="57"/>
  <c r="D20" i="57"/>
  <c r="E20" i="57" s="1"/>
  <c r="B20" i="57"/>
  <c r="H19" i="57"/>
  <c r="F19" i="57"/>
  <c r="D19" i="57"/>
  <c r="E19" i="57" s="1"/>
  <c r="B19" i="57"/>
  <c r="H18" i="57"/>
  <c r="F18" i="57"/>
  <c r="D18" i="57"/>
  <c r="E18" i="57" s="1"/>
  <c r="B18" i="57"/>
  <c r="H17" i="57"/>
  <c r="F17" i="57"/>
  <c r="E17" i="57"/>
  <c r="D17" i="57"/>
  <c r="B17" i="57"/>
  <c r="H16" i="57"/>
  <c r="F16" i="57"/>
  <c r="D16" i="57"/>
  <c r="E16" i="57" s="1"/>
  <c r="B16" i="57"/>
  <c r="H15" i="57"/>
  <c r="F15" i="57"/>
  <c r="D15" i="57"/>
  <c r="E15" i="57" s="1"/>
  <c r="B15" i="57"/>
  <c r="H14" i="57"/>
  <c r="F14" i="57"/>
  <c r="D14" i="57"/>
  <c r="E14" i="57" s="1"/>
  <c r="B14" i="57"/>
  <c r="H13" i="57"/>
  <c r="F13" i="57"/>
  <c r="E13" i="57"/>
  <c r="D13" i="57"/>
  <c r="B13" i="57"/>
  <c r="H12" i="57"/>
  <c r="F12" i="57"/>
  <c r="D12" i="57"/>
  <c r="E12" i="57" s="1"/>
  <c r="B12" i="57"/>
  <c r="H11" i="57"/>
  <c r="F11" i="57"/>
  <c r="D11" i="57"/>
  <c r="E11" i="57" s="1"/>
  <c r="B11" i="57"/>
  <c r="H10" i="57"/>
  <c r="F10" i="57"/>
  <c r="D10" i="57"/>
  <c r="E10" i="57" s="1"/>
  <c r="B10" i="57"/>
  <c r="H9" i="57"/>
  <c r="F9" i="57"/>
  <c r="E9" i="57"/>
  <c r="D9" i="57"/>
  <c r="B9" i="57"/>
  <c r="H8" i="57"/>
  <c r="F8" i="57"/>
  <c r="D8" i="57"/>
  <c r="E8" i="57" s="1"/>
  <c r="B8" i="57"/>
  <c r="H7" i="57"/>
  <c r="F7" i="57"/>
  <c r="D7" i="57"/>
  <c r="E7" i="57" s="1"/>
  <c r="B7" i="57"/>
  <c r="F6" i="57"/>
  <c r="D6" i="57"/>
  <c r="E6" i="57" s="1"/>
  <c r="H6" i="57" s="1"/>
  <c r="H26" i="57" s="1"/>
  <c r="B6" i="57"/>
  <c r="F2" i="57"/>
  <c r="C2" i="57"/>
  <c r="B30" i="57" s="1"/>
  <c r="H25" i="56"/>
  <c r="F25" i="56"/>
  <c r="D25" i="56"/>
  <c r="E25" i="56" s="1"/>
  <c r="B25" i="56"/>
  <c r="H24" i="56"/>
  <c r="F24" i="56"/>
  <c r="D24" i="56"/>
  <c r="E24" i="56" s="1"/>
  <c r="B24" i="56"/>
  <c r="H23" i="56"/>
  <c r="F23" i="56"/>
  <c r="E23" i="56"/>
  <c r="D23" i="56"/>
  <c r="B23" i="56"/>
  <c r="H22" i="56"/>
  <c r="F22" i="56"/>
  <c r="E22" i="56"/>
  <c r="D22" i="56"/>
  <c r="B22" i="56"/>
  <c r="H21" i="56"/>
  <c r="F21" i="56"/>
  <c r="D21" i="56"/>
  <c r="E21" i="56" s="1"/>
  <c r="B21" i="56"/>
  <c r="H20" i="56"/>
  <c r="F20" i="56"/>
  <c r="D20" i="56"/>
  <c r="E20" i="56" s="1"/>
  <c r="B20" i="56"/>
  <c r="H19" i="56"/>
  <c r="F19" i="56"/>
  <c r="E19" i="56"/>
  <c r="D19" i="56"/>
  <c r="B19" i="56"/>
  <c r="H18" i="56"/>
  <c r="F18" i="56"/>
  <c r="E18" i="56"/>
  <c r="D18" i="56"/>
  <c r="B18" i="56"/>
  <c r="H17" i="56"/>
  <c r="F17" i="56"/>
  <c r="D17" i="56"/>
  <c r="E17" i="56" s="1"/>
  <c r="B17" i="56"/>
  <c r="H16" i="56"/>
  <c r="F16" i="56"/>
  <c r="D16" i="56"/>
  <c r="E16" i="56" s="1"/>
  <c r="B16" i="56"/>
  <c r="H15" i="56"/>
  <c r="F15" i="56"/>
  <c r="E15" i="56"/>
  <c r="D15" i="56"/>
  <c r="B15" i="56"/>
  <c r="H14" i="56"/>
  <c r="F14" i="56"/>
  <c r="E14" i="56"/>
  <c r="D14" i="56"/>
  <c r="B14" i="56"/>
  <c r="H13" i="56"/>
  <c r="F13" i="56"/>
  <c r="D13" i="56"/>
  <c r="E13" i="56" s="1"/>
  <c r="B13" i="56"/>
  <c r="H12" i="56"/>
  <c r="F12" i="56"/>
  <c r="D12" i="56"/>
  <c r="E12" i="56" s="1"/>
  <c r="B12" i="56"/>
  <c r="H11" i="56"/>
  <c r="F11" i="56"/>
  <c r="E11" i="56"/>
  <c r="D11" i="56"/>
  <c r="B11" i="56"/>
  <c r="H10" i="56"/>
  <c r="F10" i="56"/>
  <c r="E10" i="56"/>
  <c r="D10" i="56"/>
  <c r="B10" i="56"/>
  <c r="H9" i="56"/>
  <c r="F9" i="56"/>
  <c r="D9" i="56"/>
  <c r="E9" i="56" s="1"/>
  <c r="B9" i="56"/>
  <c r="H8" i="56"/>
  <c r="F8" i="56"/>
  <c r="D8" i="56"/>
  <c r="E8" i="56" s="1"/>
  <c r="B8" i="56"/>
  <c r="H7" i="56"/>
  <c r="F7" i="56"/>
  <c r="E7" i="56"/>
  <c r="D7" i="56"/>
  <c r="B7" i="56"/>
  <c r="F6" i="56"/>
  <c r="D6" i="56"/>
  <c r="B6" i="56"/>
  <c r="D5" i="56"/>
  <c r="F2" i="56"/>
  <c r="E6" i="56" s="1"/>
  <c r="H6" i="56" s="1"/>
  <c r="H26" i="56" s="1"/>
  <c r="C2" i="56"/>
  <c r="B30" i="56" s="1"/>
  <c r="H25" i="55"/>
  <c r="F25" i="55"/>
  <c r="E25" i="55"/>
  <c r="D25" i="55"/>
  <c r="B25" i="55"/>
  <c r="H24" i="55"/>
  <c r="F24" i="55"/>
  <c r="E24" i="55"/>
  <c r="D24" i="55"/>
  <c r="B24" i="55"/>
  <c r="H23" i="55"/>
  <c r="F23" i="55"/>
  <c r="D23" i="55"/>
  <c r="E23" i="55" s="1"/>
  <c r="B23" i="55"/>
  <c r="H22" i="55"/>
  <c r="F22" i="55"/>
  <c r="D22" i="55"/>
  <c r="E22" i="55" s="1"/>
  <c r="B22" i="55"/>
  <c r="H21" i="55"/>
  <c r="F21" i="55"/>
  <c r="E21" i="55"/>
  <c r="D21" i="55"/>
  <c r="B21" i="55"/>
  <c r="H20" i="55"/>
  <c r="F20" i="55"/>
  <c r="E20" i="55"/>
  <c r="D20" i="55"/>
  <c r="B20" i="55"/>
  <c r="H19" i="55"/>
  <c r="F19" i="55"/>
  <c r="D19" i="55"/>
  <c r="E19" i="55" s="1"/>
  <c r="B19" i="55"/>
  <c r="H18" i="55"/>
  <c r="F18" i="55"/>
  <c r="D18" i="55"/>
  <c r="E18" i="55" s="1"/>
  <c r="B18" i="55"/>
  <c r="H17" i="55"/>
  <c r="F17" i="55"/>
  <c r="E17" i="55"/>
  <c r="D17" i="55"/>
  <c r="B17" i="55"/>
  <c r="H16" i="55"/>
  <c r="F16" i="55"/>
  <c r="E16" i="55"/>
  <c r="D16" i="55"/>
  <c r="B16" i="55"/>
  <c r="H15" i="55"/>
  <c r="F15" i="55"/>
  <c r="D15" i="55"/>
  <c r="E15" i="55" s="1"/>
  <c r="B15" i="55"/>
  <c r="H14" i="55"/>
  <c r="F14" i="55"/>
  <c r="D14" i="55"/>
  <c r="E14" i="55" s="1"/>
  <c r="B14" i="55"/>
  <c r="H13" i="55"/>
  <c r="F13" i="55"/>
  <c r="E13" i="55"/>
  <c r="D13" i="55"/>
  <c r="B13" i="55"/>
  <c r="H12" i="55"/>
  <c r="F12" i="55"/>
  <c r="E12" i="55"/>
  <c r="D12" i="55"/>
  <c r="B12" i="55"/>
  <c r="H11" i="55"/>
  <c r="F11" i="55"/>
  <c r="D11" i="55"/>
  <c r="E11" i="55" s="1"/>
  <c r="B11" i="55"/>
  <c r="H10" i="55"/>
  <c r="F10" i="55"/>
  <c r="D10" i="55"/>
  <c r="E10" i="55" s="1"/>
  <c r="B10" i="55"/>
  <c r="H9" i="55"/>
  <c r="F9" i="55"/>
  <c r="E9" i="55"/>
  <c r="D9" i="55"/>
  <c r="B9" i="55"/>
  <c r="H8" i="55"/>
  <c r="F8" i="55"/>
  <c r="D8" i="55"/>
  <c r="B8" i="55"/>
  <c r="H7" i="55"/>
  <c r="F7" i="55"/>
  <c r="D7" i="55"/>
  <c r="E7" i="55" s="1"/>
  <c r="B7" i="55"/>
  <c r="F6" i="55"/>
  <c r="D6" i="55"/>
  <c r="E6" i="55" s="1"/>
  <c r="H6" i="55" s="1"/>
  <c r="H26" i="55" s="1"/>
  <c r="B6" i="55"/>
  <c r="F2" i="55"/>
  <c r="E8" i="55" s="1"/>
  <c r="C2" i="55"/>
  <c r="B30" i="55" s="1"/>
  <c r="H25" i="54"/>
  <c r="F25" i="54"/>
  <c r="D25" i="54"/>
  <c r="E25" i="54" s="1"/>
  <c r="B25" i="54"/>
  <c r="H24" i="54"/>
  <c r="F24" i="54"/>
  <c r="D24" i="54"/>
  <c r="E24" i="54" s="1"/>
  <c r="B24" i="54"/>
  <c r="H23" i="54"/>
  <c r="F23" i="54"/>
  <c r="E23" i="54"/>
  <c r="D23" i="54"/>
  <c r="B23" i="54"/>
  <c r="H22" i="54"/>
  <c r="F22" i="54"/>
  <c r="E22" i="54"/>
  <c r="D22" i="54"/>
  <c r="B22" i="54"/>
  <c r="H21" i="54"/>
  <c r="F21" i="54"/>
  <c r="D21" i="54"/>
  <c r="E21" i="54" s="1"/>
  <c r="B21" i="54"/>
  <c r="H20" i="54"/>
  <c r="F20" i="54"/>
  <c r="D20" i="54"/>
  <c r="E20" i="54" s="1"/>
  <c r="B20" i="54"/>
  <c r="H19" i="54"/>
  <c r="F19" i="54"/>
  <c r="E19" i="54"/>
  <c r="D19" i="54"/>
  <c r="B19" i="54"/>
  <c r="H18" i="54"/>
  <c r="F18" i="54"/>
  <c r="D18" i="54"/>
  <c r="E18" i="54" s="1"/>
  <c r="B18" i="54"/>
  <c r="H17" i="54"/>
  <c r="F17" i="54"/>
  <c r="D17" i="54"/>
  <c r="E17" i="54" s="1"/>
  <c r="B17" i="54"/>
  <c r="H16" i="54"/>
  <c r="F16" i="54"/>
  <c r="D16" i="54"/>
  <c r="E16" i="54" s="1"/>
  <c r="B16" i="54"/>
  <c r="H15" i="54"/>
  <c r="F15" i="54"/>
  <c r="E15" i="54"/>
  <c r="D15" i="54"/>
  <c r="B15" i="54"/>
  <c r="H14" i="54"/>
  <c r="F14" i="54"/>
  <c r="D14" i="54"/>
  <c r="E14" i="54" s="1"/>
  <c r="B14" i="54"/>
  <c r="H13" i="54"/>
  <c r="F13" i="54"/>
  <c r="E13" i="54"/>
  <c r="D13" i="54"/>
  <c r="B13" i="54"/>
  <c r="H12" i="54"/>
  <c r="F12" i="54"/>
  <c r="D12" i="54"/>
  <c r="E12" i="54" s="1"/>
  <c r="B12" i="54"/>
  <c r="H11" i="54"/>
  <c r="F11" i="54"/>
  <c r="E11" i="54"/>
  <c r="D11" i="54"/>
  <c r="B11" i="54"/>
  <c r="H10" i="54"/>
  <c r="F10" i="54"/>
  <c r="D10" i="54"/>
  <c r="E10" i="54" s="1"/>
  <c r="B10" i="54"/>
  <c r="H9" i="54"/>
  <c r="F9" i="54"/>
  <c r="E9" i="54"/>
  <c r="D9" i="54"/>
  <c r="B9" i="54"/>
  <c r="H8" i="54"/>
  <c r="F8" i="54"/>
  <c r="D8" i="54"/>
  <c r="E8" i="54" s="1"/>
  <c r="B8" i="54"/>
  <c r="H7" i="54"/>
  <c r="F7" i="54"/>
  <c r="E7" i="54"/>
  <c r="D7" i="54"/>
  <c r="B7" i="54"/>
  <c r="F6" i="54"/>
  <c r="D6" i="54"/>
  <c r="E6" i="54" s="1"/>
  <c r="H6" i="54" s="1"/>
  <c r="H26" i="54" s="1"/>
  <c r="B6" i="54"/>
  <c r="D5" i="54"/>
  <c r="F2" i="54"/>
  <c r="C2" i="54"/>
  <c r="B30" i="54" s="1"/>
  <c r="H25" i="53"/>
  <c r="F25" i="53"/>
  <c r="D25" i="53"/>
  <c r="E25" i="53" s="1"/>
  <c r="B25" i="53"/>
  <c r="H24" i="53"/>
  <c r="F24" i="53"/>
  <c r="D24" i="53"/>
  <c r="E24" i="53" s="1"/>
  <c r="B24" i="53"/>
  <c r="H23" i="53"/>
  <c r="F23" i="53"/>
  <c r="D23" i="53"/>
  <c r="E23" i="53" s="1"/>
  <c r="B23" i="53"/>
  <c r="H22" i="53"/>
  <c r="F22" i="53"/>
  <c r="D22" i="53"/>
  <c r="E22" i="53" s="1"/>
  <c r="B22" i="53"/>
  <c r="H21" i="53"/>
  <c r="F21" i="53"/>
  <c r="D21" i="53"/>
  <c r="E21" i="53" s="1"/>
  <c r="B21" i="53"/>
  <c r="H20" i="53"/>
  <c r="F20" i="53"/>
  <c r="D20" i="53"/>
  <c r="E20" i="53" s="1"/>
  <c r="B20" i="53"/>
  <c r="H19" i="53"/>
  <c r="F19" i="53"/>
  <c r="D19" i="53"/>
  <c r="E19" i="53" s="1"/>
  <c r="B19" i="53"/>
  <c r="H18" i="53"/>
  <c r="F18" i="53"/>
  <c r="D18" i="53"/>
  <c r="E18" i="53" s="1"/>
  <c r="B18" i="53"/>
  <c r="H17" i="53"/>
  <c r="F17" i="53"/>
  <c r="E17" i="53"/>
  <c r="D17" i="53"/>
  <c r="B17" i="53"/>
  <c r="H16" i="53"/>
  <c r="F16" i="53"/>
  <c r="D16" i="53"/>
  <c r="E16" i="53" s="1"/>
  <c r="B16" i="53"/>
  <c r="H15" i="53"/>
  <c r="F15" i="53"/>
  <c r="E15" i="53"/>
  <c r="D15" i="53"/>
  <c r="B15" i="53"/>
  <c r="H14" i="53"/>
  <c r="F14" i="53"/>
  <c r="D14" i="53"/>
  <c r="E14" i="53" s="1"/>
  <c r="B14" i="53"/>
  <c r="H13" i="53"/>
  <c r="F13" i="53"/>
  <c r="E13" i="53"/>
  <c r="D13" i="53"/>
  <c r="B13" i="53"/>
  <c r="H12" i="53"/>
  <c r="F12" i="53"/>
  <c r="D12" i="53"/>
  <c r="E12" i="53" s="1"/>
  <c r="B12" i="53"/>
  <c r="H11" i="53"/>
  <c r="F11" i="53"/>
  <c r="E11" i="53"/>
  <c r="D11" i="53"/>
  <c r="B11" i="53"/>
  <c r="H10" i="53"/>
  <c r="F10" i="53"/>
  <c r="D10" i="53"/>
  <c r="E10" i="53" s="1"/>
  <c r="B10" i="53"/>
  <c r="H9" i="53"/>
  <c r="F9" i="53"/>
  <c r="E9" i="53"/>
  <c r="D9" i="53"/>
  <c r="B9" i="53"/>
  <c r="H8" i="53"/>
  <c r="F8" i="53"/>
  <c r="D8" i="53"/>
  <c r="E8" i="53" s="1"/>
  <c r="B8" i="53"/>
  <c r="H7" i="53"/>
  <c r="F7" i="53"/>
  <c r="E7" i="53"/>
  <c r="D7" i="53"/>
  <c r="B7" i="53"/>
  <c r="F6" i="53"/>
  <c r="D6" i="53"/>
  <c r="E6" i="53" s="1"/>
  <c r="H6" i="53" s="1"/>
  <c r="H26" i="53" s="1"/>
  <c r="B6" i="53"/>
  <c r="F2" i="53"/>
  <c r="C2" i="53"/>
  <c r="B30" i="53" s="1"/>
  <c r="H25" i="52"/>
  <c r="F25" i="52"/>
  <c r="E25" i="52"/>
  <c r="D25" i="52"/>
  <c r="B25" i="52"/>
  <c r="H24" i="52"/>
  <c r="F24" i="52"/>
  <c r="D24" i="52"/>
  <c r="E24" i="52" s="1"/>
  <c r="B24" i="52"/>
  <c r="H23" i="52"/>
  <c r="F23" i="52"/>
  <c r="E23" i="52"/>
  <c r="D23" i="52"/>
  <c r="B23" i="52"/>
  <c r="H22" i="52"/>
  <c r="F22" i="52"/>
  <c r="D22" i="52"/>
  <c r="E22" i="52" s="1"/>
  <c r="B22" i="52"/>
  <c r="H21" i="52"/>
  <c r="F21" i="52"/>
  <c r="E21" i="52"/>
  <c r="D21" i="52"/>
  <c r="B21" i="52"/>
  <c r="H20" i="52"/>
  <c r="F20" i="52"/>
  <c r="D20" i="52"/>
  <c r="E20" i="52" s="1"/>
  <c r="B20" i="52"/>
  <c r="H19" i="52"/>
  <c r="F19" i="52"/>
  <c r="E19" i="52"/>
  <c r="D19" i="52"/>
  <c r="B19" i="52"/>
  <c r="H18" i="52"/>
  <c r="F18" i="52"/>
  <c r="D18" i="52"/>
  <c r="E18" i="52" s="1"/>
  <c r="B18" i="52"/>
  <c r="H17" i="52"/>
  <c r="F17" i="52"/>
  <c r="E17" i="52"/>
  <c r="D17" i="52"/>
  <c r="B17" i="52"/>
  <c r="H16" i="52"/>
  <c r="F16" i="52"/>
  <c r="D16" i="52"/>
  <c r="E16" i="52" s="1"/>
  <c r="B16" i="52"/>
  <c r="H15" i="52"/>
  <c r="F15" i="52"/>
  <c r="E15" i="52"/>
  <c r="D15" i="52"/>
  <c r="B15" i="52"/>
  <c r="H14" i="52"/>
  <c r="F14" i="52"/>
  <c r="D14" i="52"/>
  <c r="E14" i="52" s="1"/>
  <c r="B14" i="52"/>
  <c r="H13" i="52"/>
  <c r="F13" i="52"/>
  <c r="E13" i="52"/>
  <c r="D13" i="52"/>
  <c r="B13" i="52"/>
  <c r="H12" i="52"/>
  <c r="F12" i="52"/>
  <c r="D12" i="52"/>
  <c r="E12" i="52" s="1"/>
  <c r="B12" i="52"/>
  <c r="H11" i="52"/>
  <c r="F11" i="52"/>
  <c r="E11" i="52"/>
  <c r="D11" i="52"/>
  <c r="B11" i="52"/>
  <c r="H10" i="52"/>
  <c r="F10" i="52"/>
  <c r="D10" i="52"/>
  <c r="E10" i="52" s="1"/>
  <c r="B10" i="52"/>
  <c r="H9" i="52"/>
  <c r="F9" i="52"/>
  <c r="E9" i="52"/>
  <c r="D9" i="52"/>
  <c r="B9" i="52"/>
  <c r="H8" i="52"/>
  <c r="F8" i="52"/>
  <c r="D8" i="52"/>
  <c r="E8" i="52" s="1"/>
  <c r="B8" i="52"/>
  <c r="H7" i="52"/>
  <c r="F7" i="52"/>
  <c r="E7" i="52"/>
  <c r="D7" i="52"/>
  <c r="B7" i="52"/>
  <c r="F6" i="52"/>
  <c r="D6" i="52"/>
  <c r="E6" i="52" s="1"/>
  <c r="H6" i="52" s="1"/>
  <c r="H26" i="52" s="1"/>
  <c r="B6" i="52"/>
  <c r="F2" i="52"/>
  <c r="C2" i="52"/>
  <c r="D5" i="52" s="1"/>
  <c r="H25" i="51"/>
  <c r="F25" i="51"/>
  <c r="D25" i="51"/>
  <c r="E25" i="51" s="1"/>
  <c r="B25" i="51"/>
  <c r="H24" i="51"/>
  <c r="F24" i="51"/>
  <c r="E24" i="51"/>
  <c r="D24" i="51"/>
  <c r="B24" i="51"/>
  <c r="H23" i="51"/>
  <c r="F23" i="51"/>
  <c r="E23" i="51"/>
  <c r="D23" i="51"/>
  <c r="B23" i="51"/>
  <c r="H22" i="51"/>
  <c r="F22" i="51"/>
  <c r="E22" i="51"/>
  <c r="D22" i="51"/>
  <c r="B22" i="51"/>
  <c r="H21" i="51"/>
  <c r="F21" i="51"/>
  <c r="D21" i="51"/>
  <c r="E21" i="51" s="1"/>
  <c r="B21" i="51"/>
  <c r="H20" i="51"/>
  <c r="F20" i="51"/>
  <c r="E20" i="51"/>
  <c r="D20" i="51"/>
  <c r="B20" i="51"/>
  <c r="H19" i="51"/>
  <c r="F19" i="51"/>
  <c r="E19" i="51"/>
  <c r="D19" i="51"/>
  <c r="B19" i="51"/>
  <c r="H18" i="51"/>
  <c r="F18" i="51"/>
  <c r="E18" i="51"/>
  <c r="D18" i="51"/>
  <c r="B18" i="51"/>
  <c r="H17" i="51"/>
  <c r="F17" i="51"/>
  <c r="D17" i="51"/>
  <c r="E17" i="51" s="1"/>
  <c r="B17" i="51"/>
  <c r="H16" i="51"/>
  <c r="F16" i="51"/>
  <c r="E16" i="51"/>
  <c r="D16" i="51"/>
  <c r="B16" i="51"/>
  <c r="H15" i="51"/>
  <c r="F15" i="51"/>
  <c r="E15" i="51"/>
  <c r="D15" i="51"/>
  <c r="B15" i="51"/>
  <c r="H14" i="51"/>
  <c r="F14" i="51"/>
  <c r="E14" i="51"/>
  <c r="D14" i="51"/>
  <c r="B14" i="51"/>
  <c r="H13" i="51"/>
  <c r="F13" i="51"/>
  <c r="D13" i="51"/>
  <c r="E13" i="51" s="1"/>
  <c r="B13" i="51"/>
  <c r="H12" i="51"/>
  <c r="F12" i="51"/>
  <c r="D12" i="51"/>
  <c r="E12" i="51" s="1"/>
  <c r="B12" i="51"/>
  <c r="H11" i="51"/>
  <c r="F11" i="51"/>
  <c r="E11" i="51"/>
  <c r="D11" i="51"/>
  <c r="B11" i="51"/>
  <c r="H10" i="51"/>
  <c r="F10" i="51"/>
  <c r="E10" i="51"/>
  <c r="D10" i="51"/>
  <c r="B10" i="51"/>
  <c r="H9" i="51"/>
  <c r="F9" i="51"/>
  <c r="D9" i="51"/>
  <c r="E9" i="51" s="1"/>
  <c r="B9" i="51"/>
  <c r="H8" i="51"/>
  <c r="F8" i="51"/>
  <c r="D8" i="51"/>
  <c r="E8" i="51" s="1"/>
  <c r="B8" i="51"/>
  <c r="H7" i="51"/>
  <c r="F7" i="51"/>
  <c r="E7" i="51"/>
  <c r="D7" i="51"/>
  <c r="B7" i="51"/>
  <c r="F6" i="51"/>
  <c r="D6" i="51"/>
  <c r="E6" i="51" s="1"/>
  <c r="H6" i="51" s="1"/>
  <c r="H26" i="51" s="1"/>
  <c r="B6" i="51"/>
  <c r="D5" i="51"/>
  <c r="F2" i="51"/>
  <c r="C2" i="51"/>
  <c r="B30" i="51" s="1"/>
  <c r="C2" i="50"/>
  <c r="D5" i="50" s="1"/>
  <c r="F2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7" i="50"/>
  <c r="F6" i="50"/>
  <c r="D7" i="50"/>
  <c r="D8" i="50"/>
  <c r="D9" i="50"/>
  <c r="D10" i="50"/>
  <c r="D11" i="50"/>
  <c r="D12" i="50"/>
  <c r="D13" i="50"/>
  <c r="D14" i="50"/>
  <c r="E14" i="50" s="1"/>
  <c r="D15" i="50"/>
  <c r="D16" i="50"/>
  <c r="D17" i="50"/>
  <c r="D18" i="50"/>
  <c r="E18" i="50" s="1"/>
  <c r="D19" i="50"/>
  <c r="D20" i="50"/>
  <c r="D21" i="50"/>
  <c r="D22" i="50"/>
  <c r="E22" i="50" s="1"/>
  <c r="D23" i="50"/>
  <c r="D24" i="50"/>
  <c r="D25" i="50"/>
  <c r="E10" i="50"/>
  <c r="E8" i="50"/>
  <c r="E12" i="50"/>
  <c r="E16" i="50"/>
  <c r="E20" i="50"/>
  <c r="E24" i="50"/>
  <c r="D6" i="50"/>
  <c r="E6" i="50" s="1"/>
  <c r="H6" i="50" s="1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H25" i="50"/>
  <c r="E25" i="50"/>
  <c r="H24" i="50"/>
  <c r="H23" i="50"/>
  <c r="E23" i="50"/>
  <c r="H22" i="50"/>
  <c r="H21" i="50"/>
  <c r="E21" i="50"/>
  <c r="H20" i="50"/>
  <c r="H19" i="50"/>
  <c r="E19" i="50"/>
  <c r="H18" i="50"/>
  <c r="H17" i="50"/>
  <c r="E17" i="50"/>
  <c r="H16" i="50"/>
  <c r="H15" i="50"/>
  <c r="E15" i="50"/>
  <c r="H14" i="50"/>
  <c r="H13" i="50"/>
  <c r="E13" i="50"/>
  <c r="H12" i="50"/>
  <c r="H11" i="50"/>
  <c r="E11" i="50"/>
  <c r="H10" i="50"/>
  <c r="H9" i="50"/>
  <c r="E9" i="50"/>
  <c r="H8" i="50"/>
  <c r="H7" i="50"/>
  <c r="E7" i="50"/>
  <c r="D5" i="3"/>
  <c r="B29" i="3"/>
  <c r="D5" i="66" l="1"/>
  <c r="B29" i="66"/>
  <c r="B29" i="58"/>
  <c r="D5" i="59"/>
  <c r="B29" i="60"/>
  <c r="D5" i="61"/>
  <c r="B29" i="62"/>
  <c r="D5" i="63"/>
  <c r="B29" i="64"/>
  <c r="D5" i="65"/>
  <c r="E6" i="58"/>
  <c r="H6" i="58" s="1"/>
  <c r="H26" i="58" s="1"/>
  <c r="B29" i="59"/>
  <c r="B29" i="61"/>
  <c r="B29" i="63"/>
  <c r="B29" i="65"/>
  <c r="B29" i="54"/>
  <c r="D5" i="55"/>
  <c r="B29" i="56"/>
  <c r="D5" i="57"/>
  <c r="B29" i="55"/>
  <c r="B29" i="57"/>
  <c r="B29" i="52"/>
  <c r="D5" i="53"/>
  <c r="B30" i="52"/>
  <c r="B29" i="53"/>
  <c r="B29" i="51"/>
  <c r="B30" i="50"/>
  <c r="B29" i="50"/>
  <c r="H26" i="50"/>
  <c r="B30" i="3"/>
  <c r="E7" i="3" l="1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6" i="3"/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6" i="3"/>
  <c r="H26" i="3" l="1"/>
</calcChain>
</file>

<file path=xl/comments1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Guilherme Cascardo:</t>
        </r>
        <r>
          <rPr>
            <sz val="9"/>
            <color indexed="81"/>
            <rFont val="Tahoma"/>
            <family val="2"/>
          </rPr>
          <t xml:space="preserve">
Inserir nome do solvente neste campo!
</t>
        </r>
        <r>
          <rPr>
            <b/>
            <sz val="9"/>
            <color indexed="81"/>
            <rFont val="Tahoma"/>
            <family val="2"/>
          </rPr>
          <t>Obs.: Campos em cinza não são editáveis com exceção deste campo.</t>
        </r>
      </text>
    </comment>
  </commentList>
</comments>
</file>

<file path=xl/comments2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3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4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5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6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7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8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9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0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1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2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3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4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5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6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7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comments18.xml><?xml version="1.0" encoding="utf-8"?>
<comments xmlns="http://schemas.openxmlformats.org/spreadsheetml/2006/main">
  <authors>
    <author>Guilherme Cascardo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Guilherme Cascardo:
</t>
        </r>
        <r>
          <rPr>
            <sz val="9"/>
            <color indexed="81"/>
            <rFont val="Tahoma"/>
            <family val="2"/>
          </rPr>
          <t>Inserir nome do solvente neste campo!</t>
        </r>
        <r>
          <rPr>
            <b/>
            <sz val="9"/>
            <color indexed="81"/>
            <rFont val="Tahoma"/>
            <family val="2"/>
          </rPr>
          <t xml:space="preserve">
Obs.: Campos em cinza não são editáveis com exceção deste campo.</t>
        </r>
      </text>
    </comment>
  </commentList>
</comments>
</file>

<file path=xl/sharedStrings.xml><?xml version="1.0" encoding="utf-8"?>
<sst xmlns="http://schemas.openxmlformats.org/spreadsheetml/2006/main" count="331" uniqueCount="38">
  <si>
    <t>minoxidil</t>
  </si>
  <si>
    <t>propilenoglicol</t>
  </si>
  <si>
    <t>NA</t>
  </si>
  <si>
    <t>álcool etílico</t>
  </si>
  <si>
    <t>LEGENDA</t>
  </si>
  <si>
    <r>
      <t xml:space="preserve">NA: </t>
    </r>
    <r>
      <rPr>
        <sz val="10"/>
        <color indexed="8"/>
        <rFont val="Calibri"/>
        <family val="2"/>
      </rPr>
      <t>Não aplicável.</t>
    </r>
  </si>
  <si>
    <t>Matéria-Prima</t>
  </si>
  <si>
    <t>Especificação
(ppm)</t>
  </si>
  <si>
    <t>Forma farmacêutica:</t>
  </si>
  <si>
    <t>Fabricante</t>
  </si>
  <si>
    <t>Líquido</t>
  </si>
  <si>
    <t>Total (mg/dia):</t>
  </si>
  <si>
    <t>Solvente 1</t>
  </si>
  <si>
    <t>Solvente 2</t>
  </si>
  <si>
    <t>Solvente 3</t>
  </si>
  <si>
    <t>Abacaxi</t>
  </si>
  <si>
    <t>Solvente 4</t>
  </si>
  <si>
    <t>Solvente 5</t>
  </si>
  <si>
    <t>Solvente 6</t>
  </si>
  <si>
    <t>Solvente 7</t>
  </si>
  <si>
    <t>Solvente 8</t>
  </si>
  <si>
    <t>Solvente 9</t>
  </si>
  <si>
    <t>Solvente 10</t>
  </si>
  <si>
    <t>Solvente 11</t>
  </si>
  <si>
    <t>Solvente 12</t>
  </si>
  <si>
    <t>Solvente 13</t>
  </si>
  <si>
    <t>Solvente 14</t>
  </si>
  <si>
    <t>Solvente 15</t>
  </si>
  <si>
    <t>Solvente 16</t>
  </si>
  <si>
    <t>Solvente 17</t>
  </si>
  <si>
    <t>PDE (mg/dia):</t>
  </si>
  <si>
    <t>DDM**
(g/dia)</t>
  </si>
  <si>
    <r>
      <t xml:space="preserve">*** Exposição máxima diária = </t>
    </r>
    <r>
      <rPr>
        <sz val="10"/>
        <color indexed="8"/>
        <rFont val="Calibri"/>
        <family val="2"/>
      </rPr>
      <t>DDM (g/dia) x E</t>
    </r>
    <r>
      <rPr>
        <sz val="10"/>
        <rFont val="Calibri"/>
        <family val="2"/>
      </rPr>
      <t>specificação</t>
    </r>
    <r>
      <rPr>
        <sz val="10"/>
        <color indexed="8"/>
        <rFont val="Calibri"/>
        <family val="2"/>
      </rPr>
      <t xml:space="preserve"> (ppm) /1000 </t>
    </r>
  </si>
  <si>
    <t>DDT:</t>
  </si>
  <si>
    <t>Exposição Máxima Diária ***
(mg/dia)</t>
  </si>
  <si>
    <t>Solvente 18</t>
  </si>
  <si>
    <t>Comprimido</t>
  </si>
  <si>
    <t>Cápsula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</si>
</sst>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Calibri"/>
      <family val="2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2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2" fontId="4" fillId="0" borderId="0" xfId="0" applyNumberFormat="1" applyFont="1" applyBorder="1" applyAlignment="1" applyProtection="1">
      <alignment horizontal="center" vertical="center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 applyProtection="1">
      <alignment horizontal="center" vertical="center"/>
      <protection locked="0"/>
    </xf>
    <xf numFmtId="2" fontId="4" fillId="3" borderId="2" xfId="0" applyNumberFormat="1" applyFont="1" applyFill="1" applyBorder="1" applyAlignment="1" applyProtection="1">
      <alignment horizontal="center" vertical="center"/>
    </xf>
    <xf numFmtId="2" fontId="4" fillId="3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>
      <alignment horizontal="lef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vertical="center" wrapText="1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/>
      <protection locked="0"/>
    </xf>
    <xf numFmtId="164" fontId="4" fillId="3" borderId="2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left" vertical="top" wrapText="1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164" fontId="2" fillId="4" borderId="2" xfId="0" applyNumberFormat="1" applyFont="1" applyFill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90"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5" formatCode="0&quot; mL/dia&quot;"/>
    </dxf>
    <dxf>
      <numFmt numFmtId="166" formatCode="0&quot; com/dia&quot;"/>
    </dxf>
    <dxf>
      <numFmt numFmtId="167" formatCode="0&quot; cap/dia&quot;"/>
    </dxf>
    <dxf>
      <numFmt numFmtId="168" formatCode="&quot;&quot;"/>
    </dxf>
    <dxf>
      <font>
        <color rgb="FF9C0006"/>
      </font>
      <fill>
        <patternFill>
          <bgColor rgb="FFFFC7CE"/>
        </patternFill>
      </fill>
    </dxf>
    <dxf>
      <numFmt numFmtId="168" formatCode="&quot;&quot;"/>
    </dxf>
    <dxf>
      <numFmt numFmtId="167" formatCode="0&quot; cap/dia&quot;"/>
    </dxf>
    <dxf>
      <numFmt numFmtId="166" formatCode="0&quot; com/dia&quot;"/>
    </dxf>
    <dxf>
      <numFmt numFmtId="165" formatCode="0&quot; mL/dia&quot;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1:M34"/>
  <sheetViews>
    <sheetView showGridLines="0" tabSelected="1" zoomScale="90" zoomScaleNormal="90" workbookViewId="0">
      <selection activeCell="B6" sqref="B6:C6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7.5703125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85546875" style="1" bestFit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2" t="s">
        <v>10</v>
      </c>
      <c r="E2" s="7" t="s">
        <v>33</v>
      </c>
      <c r="F2" s="23"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12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4" t="s">
        <v>0</v>
      </c>
      <c r="C6" s="34"/>
      <c r="D6" s="4">
        <v>50</v>
      </c>
      <c r="E6" s="9">
        <f t="shared" ref="E6:E25" si="0">IF(OR(D6="NA",D6=""),"",D6*$F$2/1000)</f>
        <v>0.1</v>
      </c>
      <c r="F6" s="3" t="s">
        <v>15</v>
      </c>
      <c r="G6" s="3">
        <v>5000</v>
      </c>
      <c r="H6" s="28">
        <f>IF(OR(G6="NA",G6=""),"NA",E6*G6/1000)</f>
        <v>0.5</v>
      </c>
      <c r="I6" s="28"/>
    </row>
    <row r="7" spans="2:13" x14ac:dyDescent="0.25">
      <c r="B7" s="33" t="s">
        <v>1</v>
      </c>
      <c r="C7" s="33"/>
      <c r="D7" s="6">
        <v>512.08000000000004</v>
      </c>
      <c r="E7" s="10">
        <f t="shared" si="0"/>
        <v>1.0241600000000002</v>
      </c>
      <c r="F7" s="5" t="s">
        <v>2</v>
      </c>
      <c r="G7" s="5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3" t="s">
        <v>3</v>
      </c>
      <c r="C8" s="33"/>
      <c r="D8" s="6">
        <v>272.27999999999997</v>
      </c>
      <c r="E8" s="10">
        <f t="shared" si="0"/>
        <v>0.54455999999999993</v>
      </c>
      <c r="F8" s="5" t="s">
        <v>2</v>
      </c>
      <c r="G8" s="5" t="s">
        <v>2</v>
      </c>
      <c r="H8" s="29" t="str">
        <f t="shared" si="1"/>
        <v>NA</v>
      </c>
      <c r="I8" s="29"/>
    </row>
    <row r="9" spans="2:13" x14ac:dyDescent="0.25">
      <c r="B9" s="33"/>
      <c r="C9" s="33"/>
      <c r="D9" s="6"/>
      <c r="E9" s="10" t="str">
        <f t="shared" si="0"/>
        <v/>
      </c>
      <c r="F9" s="5"/>
      <c r="G9" s="5"/>
      <c r="H9" s="29" t="str">
        <f t="shared" si="1"/>
        <v>NA</v>
      </c>
      <c r="I9" s="29"/>
    </row>
    <row r="10" spans="2:13" x14ac:dyDescent="0.25">
      <c r="B10" s="33"/>
      <c r="C10" s="33"/>
      <c r="D10" s="6"/>
      <c r="E10" s="10" t="str">
        <f t="shared" si="0"/>
        <v/>
      </c>
      <c r="F10" s="5"/>
      <c r="G10" s="5"/>
      <c r="H10" s="29" t="str">
        <f t="shared" si="1"/>
        <v>NA</v>
      </c>
      <c r="I10" s="29"/>
    </row>
    <row r="11" spans="2:13" x14ac:dyDescent="0.25">
      <c r="B11" s="33"/>
      <c r="C11" s="33"/>
      <c r="D11" s="6"/>
      <c r="E11" s="10" t="str">
        <f t="shared" si="0"/>
        <v/>
      </c>
      <c r="F11" s="5"/>
      <c r="G11" s="5"/>
      <c r="H11" s="29" t="str">
        <f t="shared" si="1"/>
        <v>NA</v>
      </c>
      <c r="I11" s="29"/>
    </row>
    <row r="12" spans="2:13" x14ac:dyDescent="0.25">
      <c r="B12" s="33"/>
      <c r="C12" s="33"/>
      <c r="D12" s="6"/>
      <c r="E12" s="10" t="str">
        <f t="shared" si="0"/>
        <v/>
      </c>
      <c r="F12" s="5"/>
      <c r="G12" s="5"/>
      <c r="H12" s="29" t="str">
        <f t="shared" si="1"/>
        <v>NA</v>
      </c>
      <c r="I12" s="29"/>
    </row>
    <row r="13" spans="2:13" x14ac:dyDescent="0.25">
      <c r="B13" s="33"/>
      <c r="C13" s="33"/>
      <c r="D13" s="6"/>
      <c r="E13" s="10" t="str">
        <f t="shared" si="0"/>
        <v/>
      </c>
      <c r="F13" s="5"/>
      <c r="G13" s="5"/>
      <c r="H13" s="29" t="str">
        <f t="shared" si="1"/>
        <v>NA</v>
      </c>
      <c r="I13" s="29"/>
    </row>
    <row r="14" spans="2:13" x14ac:dyDescent="0.25">
      <c r="B14" s="33"/>
      <c r="C14" s="33"/>
      <c r="D14" s="6"/>
      <c r="E14" s="10" t="str">
        <f t="shared" si="0"/>
        <v/>
      </c>
      <c r="F14" s="5"/>
      <c r="G14" s="5"/>
      <c r="H14" s="29" t="str">
        <f t="shared" si="1"/>
        <v>NA</v>
      </c>
      <c r="I14" s="29"/>
    </row>
    <row r="15" spans="2:13" x14ac:dyDescent="0.25">
      <c r="B15" s="33"/>
      <c r="C15" s="33"/>
      <c r="D15" s="6"/>
      <c r="E15" s="10" t="str">
        <f t="shared" si="0"/>
        <v/>
      </c>
      <c r="F15" s="5"/>
      <c r="G15" s="5"/>
      <c r="H15" s="29" t="str">
        <f t="shared" si="1"/>
        <v>NA</v>
      </c>
      <c r="I15" s="29"/>
    </row>
    <row r="16" spans="2:13" x14ac:dyDescent="0.25">
      <c r="B16" s="33"/>
      <c r="C16" s="33"/>
      <c r="D16" s="6"/>
      <c r="E16" s="10" t="str">
        <f t="shared" si="0"/>
        <v/>
      </c>
      <c r="F16" s="5"/>
      <c r="G16" s="5"/>
      <c r="H16" s="29" t="str">
        <f t="shared" si="1"/>
        <v>NA</v>
      </c>
      <c r="I16" s="29"/>
    </row>
    <row r="17" spans="2:9" x14ac:dyDescent="0.25">
      <c r="B17" s="33"/>
      <c r="C17" s="33"/>
      <c r="D17" s="6"/>
      <c r="E17" s="10" t="str">
        <f t="shared" si="0"/>
        <v/>
      </c>
      <c r="F17" s="5"/>
      <c r="G17" s="5"/>
      <c r="H17" s="29" t="str">
        <f t="shared" si="1"/>
        <v>NA</v>
      </c>
      <c r="I17" s="29"/>
    </row>
    <row r="18" spans="2:9" x14ac:dyDescent="0.25">
      <c r="B18" s="33"/>
      <c r="C18" s="33"/>
      <c r="D18" s="6"/>
      <c r="E18" s="10" t="str">
        <f t="shared" si="0"/>
        <v/>
      </c>
      <c r="F18" s="5"/>
      <c r="G18" s="5"/>
      <c r="H18" s="29" t="str">
        <f t="shared" si="1"/>
        <v>NA</v>
      </c>
      <c r="I18" s="29"/>
    </row>
    <row r="19" spans="2:9" x14ac:dyDescent="0.25">
      <c r="B19" s="33"/>
      <c r="C19" s="33"/>
      <c r="D19" s="6"/>
      <c r="E19" s="10" t="str">
        <f t="shared" si="0"/>
        <v/>
      </c>
      <c r="F19" s="5"/>
      <c r="G19" s="5"/>
      <c r="H19" s="29" t="str">
        <f t="shared" si="1"/>
        <v>NA</v>
      </c>
      <c r="I19" s="29"/>
    </row>
    <row r="20" spans="2:9" x14ac:dyDescent="0.25">
      <c r="B20" s="33"/>
      <c r="C20" s="33"/>
      <c r="D20" s="6"/>
      <c r="E20" s="10" t="str">
        <f t="shared" si="0"/>
        <v/>
      </c>
      <c r="F20" s="5"/>
      <c r="G20" s="5"/>
      <c r="H20" s="29" t="str">
        <f t="shared" si="1"/>
        <v>NA</v>
      </c>
      <c r="I20" s="29"/>
    </row>
    <row r="21" spans="2:9" x14ac:dyDescent="0.25">
      <c r="B21" s="33"/>
      <c r="C21" s="33"/>
      <c r="D21" s="6"/>
      <c r="E21" s="10" t="str">
        <f t="shared" si="0"/>
        <v/>
      </c>
      <c r="F21" s="5"/>
      <c r="G21" s="5"/>
      <c r="H21" s="29" t="str">
        <f t="shared" si="1"/>
        <v>NA</v>
      </c>
      <c r="I21" s="29"/>
    </row>
    <row r="22" spans="2:9" x14ac:dyDescent="0.25">
      <c r="B22" s="33"/>
      <c r="C22" s="33"/>
      <c r="D22" s="6"/>
      <c r="E22" s="10" t="str">
        <f t="shared" si="0"/>
        <v/>
      </c>
      <c r="F22" s="5"/>
      <c r="G22" s="5"/>
      <c r="H22" s="29" t="str">
        <f t="shared" si="1"/>
        <v>NA</v>
      </c>
      <c r="I22" s="29"/>
    </row>
    <row r="23" spans="2:9" x14ac:dyDescent="0.25">
      <c r="B23" s="33"/>
      <c r="C23" s="33"/>
      <c r="D23" s="6"/>
      <c r="E23" s="10" t="str">
        <f t="shared" si="0"/>
        <v/>
      </c>
      <c r="F23" s="5"/>
      <c r="G23" s="5"/>
      <c r="H23" s="29" t="str">
        <f t="shared" si="1"/>
        <v>NA</v>
      </c>
      <c r="I23" s="29"/>
    </row>
    <row r="24" spans="2:9" x14ac:dyDescent="0.25">
      <c r="B24" s="33"/>
      <c r="C24" s="33"/>
      <c r="D24" s="6"/>
      <c r="E24" s="10" t="str">
        <f t="shared" si="0"/>
        <v/>
      </c>
      <c r="F24" s="5"/>
      <c r="G24" s="5"/>
      <c r="H24" s="29" t="str">
        <f t="shared" si="1"/>
        <v>NA</v>
      </c>
      <c r="I24" s="29"/>
    </row>
    <row r="25" spans="2:9" x14ac:dyDescent="0.25">
      <c r="B25" s="36"/>
      <c r="C25" s="36"/>
      <c r="D25" s="6"/>
      <c r="E25" s="10" t="str">
        <f t="shared" si="0"/>
        <v/>
      </c>
      <c r="F25" s="5"/>
      <c r="G25" s="5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5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5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5"/>
    </row>
    <row r="34" spans="9:9" x14ac:dyDescent="0.25">
      <c r="I34" s="11"/>
    </row>
  </sheetData>
  <sheetProtection password="CF7A" sheet="1" objects="1" scenarios="1" formatColumns="0" formatRows="0"/>
  <mergeCells count="50">
    <mergeCell ref="B23:C23"/>
    <mergeCell ref="B24:C24"/>
    <mergeCell ref="B25:C25"/>
    <mergeCell ref="B18:C18"/>
    <mergeCell ref="B19:C19"/>
    <mergeCell ref="B20:C20"/>
    <mergeCell ref="B21:C21"/>
    <mergeCell ref="B22:C22"/>
    <mergeCell ref="H24:I24"/>
    <mergeCell ref="H25:I25"/>
    <mergeCell ref="H26:I26"/>
    <mergeCell ref="H21:I21"/>
    <mergeCell ref="H22:I22"/>
    <mergeCell ref="H23:I23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H19:I19"/>
    <mergeCell ref="H20:I20"/>
    <mergeCell ref="B30:H30"/>
    <mergeCell ref="B31:H31"/>
    <mergeCell ref="B26:G26"/>
    <mergeCell ref="B28:E28"/>
    <mergeCell ref="B29:H29"/>
    <mergeCell ref="B32:H32"/>
    <mergeCell ref="H5:I5"/>
    <mergeCell ref="B4:I4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6:I16"/>
    <mergeCell ref="H17:I17"/>
    <mergeCell ref="H18:I18"/>
  </mergeCells>
  <conditionalFormatting sqref="H26:I26">
    <cfRule type="cellIs" dxfId="89" priority="5" operator="greaterThan">
      <formula>$I$2</formula>
    </cfRule>
  </conditionalFormatting>
  <conditionalFormatting sqref="F2">
    <cfRule type="expression" dxfId="88" priority="4">
      <formula>$C$2=$M$1</formula>
    </cfRule>
    <cfRule type="expression" dxfId="87" priority="3">
      <formula>$C$2=$M$2</formula>
    </cfRule>
    <cfRule type="expression" dxfId="86" priority="2">
      <formula>$C$2=$M$3</formula>
    </cfRule>
    <cfRule type="expression" dxfId="85" priority="1">
      <formula>$F$2=0</formula>
    </cfRule>
  </conditionalFormatting>
  <dataValidations count="2">
    <dataValidation type="list" allowBlank="1" showInputMessage="1" showErrorMessage="1" sqref="D3">
      <formula1>$M$1:$M$2</formula1>
    </dataValidation>
    <dataValidation type="list" allowBlank="1" showInputMessage="1" showErrorMessage="1" sqref="C2">
      <formula1>$M$1:$M$3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B1:M34"/>
  <sheetViews>
    <sheetView showGridLines="0" zoomScale="90" zoomScaleNormal="90" workbookViewId="0">
      <selection activeCell="C2" sqref="C2 M1:M3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13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84" priority="5" operator="greaterThan">
      <formula>$I$2</formula>
    </cfRule>
  </conditionalFormatting>
  <conditionalFormatting sqref="F2">
    <cfRule type="expression" dxfId="83" priority="1">
      <formula>$F$2=0</formula>
    </cfRule>
    <cfRule type="expression" dxfId="82" priority="2">
      <formula>$C$2=$M$3</formula>
    </cfRule>
    <cfRule type="expression" dxfId="81" priority="3">
      <formula>$C$2=$M$2</formula>
    </cfRule>
    <cfRule type="expression" dxfId="8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14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79" priority="5" operator="greaterThan">
      <formula>$I$2</formula>
    </cfRule>
  </conditionalFormatting>
  <conditionalFormatting sqref="F2">
    <cfRule type="expression" dxfId="78" priority="1">
      <formula>$F$2=0</formula>
    </cfRule>
    <cfRule type="expression" dxfId="77" priority="2">
      <formula>$C$2=$M$3</formula>
    </cfRule>
    <cfRule type="expression" dxfId="76" priority="3">
      <formula>$C$2=$M$2</formula>
    </cfRule>
    <cfRule type="expression" dxfId="7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16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74" priority="5" operator="greaterThan">
      <formula>$I$2</formula>
    </cfRule>
  </conditionalFormatting>
  <conditionalFormatting sqref="F2">
    <cfRule type="expression" dxfId="73" priority="1">
      <formula>$F$2=0</formula>
    </cfRule>
    <cfRule type="expression" dxfId="72" priority="2">
      <formula>$C$2=$M$3</formula>
    </cfRule>
    <cfRule type="expression" dxfId="71" priority="3">
      <formula>$C$2=$M$2</formula>
    </cfRule>
    <cfRule type="expression" dxfId="7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17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69" priority="5" operator="greaterThan">
      <formula>$I$2</formula>
    </cfRule>
  </conditionalFormatting>
  <conditionalFormatting sqref="F2">
    <cfRule type="expression" dxfId="68" priority="1">
      <formula>$F$2=0</formula>
    </cfRule>
    <cfRule type="expression" dxfId="67" priority="2">
      <formula>$C$2=$M$3</formula>
    </cfRule>
    <cfRule type="expression" dxfId="66" priority="3">
      <formula>$C$2=$M$2</formula>
    </cfRule>
    <cfRule type="expression" dxfId="6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18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64" priority="5" operator="greaterThan">
      <formula>$I$2</formula>
    </cfRule>
  </conditionalFormatting>
  <conditionalFormatting sqref="F2">
    <cfRule type="expression" dxfId="63" priority="1">
      <formula>$F$2=0</formula>
    </cfRule>
    <cfRule type="expression" dxfId="62" priority="2">
      <formula>$C$2=$M$3</formula>
    </cfRule>
    <cfRule type="expression" dxfId="61" priority="3">
      <formula>$C$2=$M$2</formula>
    </cfRule>
    <cfRule type="expression" dxfId="6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9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19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59" priority="5" operator="greaterThan">
      <formula>$I$2</formula>
    </cfRule>
  </conditionalFormatting>
  <conditionalFormatting sqref="F2">
    <cfRule type="expression" dxfId="58" priority="1">
      <formula>$F$2=0</formula>
    </cfRule>
    <cfRule type="expression" dxfId="57" priority="2">
      <formula>$C$2=$M$3</formula>
    </cfRule>
    <cfRule type="expression" dxfId="56" priority="3">
      <formula>$C$2=$M$2</formula>
    </cfRule>
    <cfRule type="expression" dxfId="5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0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20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54" priority="5" operator="greaterThan">
      <formula>$I$2</formula>
    </cfRule>
  </conditionalFormatting>
  <conditionalFormatting sqref="F2">
    <cfRule type="expression" dxfId="53" priority="1">
      <formula>$F$2=0</formula>
    </cfRule>
    <cfRule type="expression" dxfId="52" priority="2">
      <formula>$C$2=$M$3</formula>
    </cfRule>
    <cfRule type="expression" dxfId="51" priority="3">
      <formula>$C$2=$M$2</formula>
    </cfRule>
    <cfRule type="expression" dxfId="5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21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49" priority="5" operator="greaterThan">
      <formula>$I$2</formula>
    </cfRule>
  </conditionalFormatting>
  <conditionalFormatting sqref="F2">
    <cfRule type="expression" dxfId="48" priority="1">
      <formula>$F$2=0</formula>
    </cfRule>
    <cfRule type="expression" dxfId="47" priority="2">
      <formula>$C$2=$M$3</formula>
    </cfRule>
    <cfRule type="expression" dxfId="46" priority="3">
      <formula>$C$2=$M$2</formula>
    </cfRule>
    <cfRule type="expression" dxfId="4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2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22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44" priority="5" operator="greaterThan">
      <formula>$I$2</formula>
    </cfRule>
  </conditionalFormatting>
  <conditionalFormatting sqref="F2">
    <cfRule type="expression" dxfId="43" priority="1">
      <formula>$F$2=0</formula>
    </cfRule>
    <cfRule type="expression" dxfId="42" priority="2">
      <formula>$C$2=$M$3</formula>
    </cfRule>
    <cfRule type="expression" dxfId="41" priority="3">
      <formula>$C$2=$M$2</formula>
    </cfRule>
    <cfRule type="expression" dxfId="4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3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23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39" priority="5" operator="greaterThan">
      <formula>$I$2</formula>
    </cfRule>
  </conditionalFormatting>
  <conditionalFormatting sqref="F2">
    <cfRule type="expression" dxfId="38" priority="1">
      <formula>$F$2=0</formula>
    </cfRule>
    <cfRule type="expression" dxfId="37" priority="2">
      <formula>$C$2=$M$3</formula>
    </cfRule>
    <cfRule type="expression" dxfId="36" priority="3">
      <formula>$C$2=$M$2</formula>
    </cfRule>
    <cfRule type="expression" dxfId="3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4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24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34" priority="5" operator="greaterThan">
      <formula>$I$2</formula>
    </cfRule>
  </conditionalFormatting>
  <conditionalFormatting sqref="F2">
    <cfRule type="expression" dxfId="33" priority="1">
      <formula>$F$2=0</formula>
    </cfRule>
    <cfRule type="expression" dxfId="32" priority="2">
      <formula>$C$2=$M$3</formula>
    </cfRule>
    <cfRule type="expression" dxfId="31" priority="3">
      <formula>$C$2=$M$2</formula>
    </cfRule>
    <cfRule type="expression" dxfId="3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25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29" priority="5" operator="greaterThan">
      <formula>$I$2</formula>
    </cfRule>
  </conditionalFormatting>
  <conditionalFormatting sqref="F2">
    <cfRule type="expression" dxfId="28" priority="1">
      <formula>$F$2=0</formula>
    </cfRule>
    <cfRule type="expression" dxfId="27" priority="2">
      <formula>$C$2=$M$3</formula>
    </cfRule>
    <cfRule type="expression" dxfId="26" priority="3">
      <formula>$C$2=$M$2</formula>
    </cfRule>
    <cfRule type="expression" dxfId="2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26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24" priority="5" operator="greaterThan">
      <formula>$I$2</formula>
    </cfRule>
  </conditionalFormatting>
  <conditionalFormatting sqref="F2">
    <cfRule type="expression" dxfId="23" priority="1">
      <formula>$F$2=0</formula>
    </cfRule>
    <cfRule type="expression" dxfId="22" priority="2">
      <formula>$C$2=$M$3</formula>
    </cfRule>
    <cfRule type="expression" dxfId="21" priority="3">
      <formula>$C$2=$M$2</formula>
    </cfRule>
    <cfRule type="expression" dxfId="2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7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27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19" priority="5" operator="greaterThan">
      <formula>$I$2</formula>
    </cfRule>
  </conditionalFormatting>
  <conditionalFormatting sqref="F2">
    <cfRule type="expression" dxfId="18" priority="1">
      <formula>$F$2=0</formula>
    </cfRule>
    <cfRule type="expression" dxfId="17" priority="2">
      <formula>$C$2=$M$3</formula>
    </cfRule>
    <cfRule type="expression" dxfId="16" priority="3">
      <formula>$C$2=$M$2</formula>
    </cfRule>
    <cfRule type="expression" dxfId="1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8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28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14" priority="5" operator="greaterThan">
      <formula>$I$2</formula>
    </cfRule>
  </conditionalFormatting>
  <conditionalFormatting sqref="F2">
    <cfRule type="expression" dxfId="13" priority="1">
      <formula>$F$2=0</formula>
    </cfRule>
    <cfRule type="expression" dxfId="12" priority="2">
      <formula>$C$2=$M$3</formula>
    </cfRule>
    <cfRule type="expression" dxfId="11" priority="3">
      <formula>$C$2=$M$2</formula>
    </cfRule>
    <cfRule type="expression" dxfId="1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9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29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9" priority="5" operator="greaterThan">
      <formula>$I$2</formula>
    </cfRule>
  </conditionalFormatting>
  <conditionalFormatting sqref="F2">
    <cfRule type="expression" dxfId="8" priority="1">
      <formula>$F$2=0</formula>
    </cfRule>
    <cfRule type="expression" dxfId="7" priority="2">
      <formula>$C$2=$M$3</formula>
    </cfRule>
    <cfRule type="expression" dxfId="6" priority="3">
      <formula>$C$2=$M$2</formula>
    </cfRule>
    <cfRule type="expression" dxfId="5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0"/>
  <dimension ref="B1:M34"/>
  <sheetViews>
    <sheetView showGridLines="0" zoomScale="90" zoomScaleNormal="90" workbookViewId="0">
      <selection activeCell="B4" sqref="B4:I4"/>
    </sheetView>
  </sheetViews>
  <sheetFormatPr defaultRowHeight="12.75" x14ac:dyDescent="0.25"/>
  <cols>
    <col min="1" max="1" width="3.42578125" style="1" customWidth="1"/>
    <col min="2" max="2" width="20.140625" style="1" bestFit="1" customWidth="1"/>
    <col min="3" max="3" width="12" style="1" bestFit="1" customWidth="1"/>
    <col min="4" max="4" width="12.28515625" style="1" bestFit="1" customWidth="1"/>
    <col min="5" max="5" width="8.140625" style="1" bestFit="1" customWidth="1"/>
    <col min="6" max="6" width="10.7109375" style="1" customWidth="1"/>
    <col min="7" max="7" width="13.5703125" style="1" customWidth="1"/>
    <col min="8" max="8" width="18.85546875" style="1" customWidth="1"/>
    <col min="9" max="9" width="7.42578125" style="1" customWidth="1"/>
    <col min="10" max="10" width="12.7109375" style="1" bestFit="1" customWidth="1"/>
    <col min="11" max="11" width="9.140625" style="1"/>
    <col min="12" max="12" width="9.140625" style="1" customWidth="1"/>
    <col min="13" max="13" width="12" style="1" hidden="1" customWidth="1"/>
    <col min="14" max="16384" width="9.140625" style="1"/>
  </cols>
  <sheetData>
    <row r="1" spans="2:13" x14ac:dyDescent="0.25">
      <c r="M1" s="1" t="s">
        <v>10</v>
      </c>
    </row>
    <row r="2" spans="2:13" x14ac:dyDescent="0.25">
      <c r="B2" s="7" t="s">
        <v>8</v>
      </c>
      <c r="C2" s="16" t="str">
        <f>IF('Solvente 1'!C2&lt;&gt;"",'Solvente 1'!C2,"")</f>
        <v>Líquido</v>
      </c>
      <c r="E2" s="7" t="s">
        <v>33</v>
      </c>
      <c r="F2" s="24">
        <f>IF('Solvente 1'!F2&lt;&gt;"",'Solvente 1'!F2,"")</f>
        <v>2</v>
      </c>
      <c r="H2" s="7" t="s">
        <v>30</v>
      </c>
      <c r="I2" s="12">
        <v>50</v>
      </c>
      <c r="M2" s="1" t="s">
        <v>36</v>
      </c>
    </row>
    <row r="3" spans="2:13" x14ac:dyDescent="0.25">
      <c r="M3" s="1" t="s">
        <v>37</v>
      </c>
    </row>
    <row r="4" spans="2:13" ht="15" customHeight="1" x14ac:dyDescent="0.25">
      <c r="B4" s="27" t="s">
        <v>35</v>
      </c>
      <c r="C4" s="27"/>
      <c r="D4" s="27"/>
      <c r="E4" s="27"/>
      <c r="F4" s="27"/>
      <c r="G4" s="27"/>
      <c r="H4" s="27"/>
      <c r="I4" s="27"/>
    </row>
    <row r="5" spans="2:13" ht="25.5" x14ac:dyDescent="0.25">
      <c r="B5" s="26" t="s">
        <v>6</v>
      </c>
      <c r="C5" s="26"/>
      <c r="D5" s="8" t="str">
        <f>"Quantidade*
"&amp;IF(C2="","",IF(C2=$M$1,"(mg/mL)",IF(C2=$M$2,"(mg/com)",IF(C2=$M$3,"(mg/cap)",""))))</f>
        <v>Quantidade*
(mg/mL)</v>
      </c>
      <c r="E5" s="8" t="s">
        <v>31</v>
      </c>
      <c r="F5" s="8" t="s">
        <v>9</v>
      </c>
      <c r="G5" s="8" t="s">
        <v>7</v>
      </c>
      <c r="H5" s="26" t="s">
        <v>34</v>
      </c>
      <c r="I5" s="26"/>
    </row>
    <row r="6" spans="2:13" ht="15" customHeight="1" x14ac:dyDescent="0.25">
      <c r="B6" s="39" t="str">
        <f>IF('Solvente 1'!B6:C6&lt;&gt;"",'Solvente 1'!B6:C6,"")</f>
        <v>minoxidil</v>
      </c>
      <c r="C6" s="39"/>
      <c r="D6" s="13">
        <f>IF('Solvente 1'!D6&lt;&gt;"",'Solvente 1'!D6,"")</f>
        <v>50</v>
      </c>
      <c r="E6" s="18">
        <f t="shared" ref="E6:E25" si="0">IF(OR(D6="NA",D6=""),"",D6*$F$2/1000)</f>
        <v>0.1</v>
      </c>
      <c r="F6" s="13" t="str">
        <f>IF('Solvente 1'!F6&lt;&gt;"",'Solvente 1'!F6,"")</f>
        <v>Abacaxi</v>
      </c>
      <c r="G6" s="21">
        <v>5000</v>
      </c>
      <c r="H6" s="28">
        <f>IF(OR(G6="NA",G6=""),"NA",E6*G6/1000)</f>
        <v>0.5</v>
      </c>
      <c r="I6" s="28"/>
    </row>
    <row r="7" spans="2:13" x14ac:dyDescent="0.25">
      <c r="B7" s="37" t="str">
        <f>IF('Solvente 1'!B7:C7&lt;&gt;"",'Solvente 1'!B7:C7,"")</f>
        <v>propilenoglicol</v>
      </c>
      <c r="C7" s="37"/>
      <c r="D7" s="14">
        <f>IF('Solvente 1'!D7&lt;&gt;"",'Solvente 1'!D7,"")</f>
        <v>512.08000000000004</v>
      </c>
      <c r="E7" s="19">
        <f t="shared" si="0"/>
        <v>1.0241600000000002</v>
      </c>
      <c r="F7" s="14" t="str">
        <f>IF('Solvente 1'!F7&lt;&gt;"",'Solvente 1'!F7,"")</f>
        <v>NA</v>
      </c>
      <c r="G7" s="20" t="s">
        <v>2</v>
      </c>
      <c r="H7" s="29" t="str">
        <f t="shared" ref="H7:H25" si="1">IF(OR(G7="NA",G7=""),"NA",E7*G7/1000)</f>
        <v>NA</v>
      </c>
      <c r="I7" s="29"/>
    </row>
    <row r="8" spans="2:13" x14ac:dyDescent="0.25">
      <c r="B8" s="37" t="str">
        <f>IF('Solvente 1'!B8:C8&lt;&gt;"",'Solvente 1'!B8:C8,"")</f>
        <v>álcool etílico</v>
      </c>
      <c r="C8" s="37"/>
      <c r="D8" s="14">
        <f>IF('Solvente 1'!D8&lt;&gt;"",'Solvente 1'!D8,"")</f>
        <v>272.27999999999997</v>
      </c>
      <c r="E8" s="19">
        <f t="shared" si="0"/>
        <v>0.54455999999999993</v>
      </c>
      <c r="F8" s="14" t="str">
        <f>IF('Solvente 1'!F8&lt;&gt;"",'Solvente 1'!F8,"")</f>
        <v>NA</v>
      </c>
      <c r="G8" s="20" t="s">
        <v>2</v>
      </c>
      <c r="H8" s="29" t="str">
        <f t="shared" si="1"/>
        <v>NA</v>
      </c>
      <c r="I8" s="29"/>
    </row>
    <row r="9" spans="2:13" x14ac:dyDescent="0.25">
      <c r="B9" s="37" t="str">
        <f>IF('Solvente 1'!B9:C9&lt;&gt;"",'Solvente 1'!B9:C9,"")</f>
        <v/>
      </c>
      <c r="C9" s="37"/>
      <c r="D9" s="14" t="str">
        <f>IF('Solvente 1'!D9&lt;&gt;"",'Solvente 1'!D9,"")</f>
        <v/>
      </c>
      <c r="E9" s="19" t="str">
        <f t="shared" si="0"/>
        <v/>
      </c>
      <c r="F9" s="14" t="str">
        <f>IF('Solvente 1'!F9&lt;&gt;"",'Solvente 1'!F9,"")</f>
        <v/>
      </c>
      <c r="G9" s="20"/>
      <c r="H9" s="29" t="str">
        <f t="shared" si="1"/>
        <v>NA</v>
      </c>
      <c r="I9" s="29"/>
    </row>
    <row r="10" spans="2:13" x14ac:dyDescent="0.25">
      <c r="B10" s="37" t="str">
        <f>IF('Solvente 1'!B10:C10&lt;&gt;"",'Solvente 1'!B10:C10,"")</f>
        <v/>
      </c>
      <c r="C10" s="37"/>
      <c r="D10" s="14" t="str">
        <f>IF('Solvente 1'!D10&lt;&gt;"",'Solvente 1'!D10,"")</f>
        <v/>
      </c>
      <c r="E10" s="19" t="str">
        <f t="shared" si="0"/>
        <v/>
      </c>
      <c r="F10" s="14" t="str">
        <f>IF('Solvente 1'!F10&lt;&gt;"",'Solvente 1'!F10,"")</f>
        <v/>
      </c>
      <c r="G10" s="20"/>
      <c r="H10" s="29" t="str">
        <f t="shared" si="1"/>
        <v>NA</v>
      </c>
      <c r="I10" s="29"/>
    </row>
    <row r="11" spans="2:13" x14ac:dyDescent="0.25">
      <c r="B11" s="37" t="str">
        <f>IF('Solvente 1'!B11:C11&lt;&gt;"",'Solvente 1'!B11:C11,"")</f>
        <v/>
      </c>
      <c r="C11" s="37"/>
      <c r="D11" s="14" t="str">
        <f>IF('Solvente 1'!D11&lt;&gt;"",'Solvente 1'!D11,"")</f>
        <v/>
      </c>
      <c r="E11" s="19" t="str">
        <f t="shared" si="0"/>
        <v/>
      </c>
      <c r="F11" s="14" t="str">
        <f>IF('Solvente 1'!F11&lt;&gt;"",'Solvente 1'!F11,"")</f>
        <v/>
      </c>
      <c r="G11" s="20"/>
      <c r="H11" s="29" t="str">
        <f t="shared" si="1"/>
        <v>NA</v>
      </c>
      <c r="I11" s="29"/>
    </row>
    <row r="12" spans="2:13" x14ac:dyDescent="0.25">
      <c r="B12" s="37" t="str">
        <f>IF('Solvente 1'!B12:C12&lt;&gt;"",'Solvente 1'!B12:C12,"")</f>
        <v/>
      </c>
      <c r="C12" s="37"/>
      <c r="D12" s="14" t="str">
        <f>IF('Solvente 1'!D12&lt;&gt;"",'Solvente 1'!D12,"")</f>
        <v/>
      </c>
      <c r="E12" s="19" t="str">
        <f t="shared" si="0"/>
        <v/>
      </c>
      <c r="F12" s="14" t="str">
        <f>IF('Solvente 1'!F12&lt;&gt;"",'Solvente 1'!F12,"")</f>
        <v/>
      </c>
      <c r="G12" s="20"/>
      <c r="H12" s="29" t="str">
        <f t="shared" si="1"/>
        <v>NA</v>
      </c>
      <c r="I12" s="29"/>
    </row>
    <row r="13" spans="2:13" x14ac:dyDescent="0.25">
      <c r="B13" s="37" t="str">
        <f>IF('Solvente 1'!B13:C13&lt;&gt;"",'Solvente 1'!B13:C13,"")</f>
        <v/>
      </c>
      <c r="C13" s="37"/>
      <c r="D13" s="14" t="str">
        <f>IF('Solvente 1'!D13&lt;&gt;"",'Solvente 1'!D13,"")</f>
        <v/>
      </c>
      <c r="E13" s="19" t="str">
        <f t="shared" si="0"/>
        <v/>
      </c>
      <c r="F13" s="14" t="str">
        <f>IF('Solvente 1'!F13&lt;&gt;"",'Solvente 1'!F13,"")</f>
        <v/>
      </c>
      <c r="G13" s="20"/>
      <c r="H13" s="29" t="str">
        <f t="shared" si="1"/>
        <v>NA</v>
      </c>
      <c r="I13" s="29"/>
    </row>
    <row r="14" spans="2:13" x14ac:dyDescent="0.25">
      <c r="B14" s="37" t="str">
        <f>IF('Solvente 1'!B14:C14&lt;&gt;"",'Solvente 1'!B14:C14,"")</f>
        <v/>
      </c>
      <c r="C14" s="37"/>
      <c r="D14" s="14" t="str">
        <f>IF('Solvente 1'!D14&lt;&gt;"",'Solvente 1'!D14,"")</f>
        <v/>
      </c>
      <c r="E14" s="19" t="str">
        <f t="shared" si="0"/>
        <v/>
      </c>
      <c r="F14" s="14" t="str">
        <f>IF('Solvente 1'!F14&lt;&gt;"",'Solvente 1'!F14,"")</f>
        <v/>
      </c>
      <c r="G14" s="20"/>
      <c r="H14" s="29" t="str">
        <f t="shared" si="1"/>
        <v>NA</v>
      </c>
      <c r="I14" s="29"/>
    </row>
    <row r="15" spans="2:13" x14ac:dyDescent="0.25">
      <c r="B15" s="37" t="str">
        <f>IF('Solvente 1'!B15:C15&lt;&gt;"",'Solvente 1'!B15:C15,"")</f>
        <v/>
      </c>
      <c r="C15" s="37"/>
      <c r="D15" s="14" t="str">
        <f>IF('Solvente 1'!D15&lt;&gt;"",'Solvente 1'!D15,"")</f>
        <v/>
      </c>
      <c r="E15" s="19" t="str">
        <f t="shared" si="0"/>
        <v/>
      </c>
      <c r="F15" s="14" t="str">
        <f>IF('Solvente 1'!F15&lt;&gt;"",'Solvente 1'!F15,"")</f>
        <v/>
      </c>
      <c r="G15" s="20"/>
      <c r="H15" s="29" t="str">
        <f t="shared" si="1"/>
        <v>NA</v>
      </c>
      <c r="I15" s="29"/>
    </row>
    <row r="16" spans="2:13" x14ac:dyDescent="0.25">
      <c r="B16" s="37" t="str">
        <f>IF('Solvente 1'!B16:C16&lt;&gt;"",'Solvente 1'!B16:C16,"")</f>
        <v/>
      </c>
      <c r="C16" s="37"/>
      <c r="D16" s="14" t="str">
        <f>IF('Solvente 1'!D16&lt;&gt;"",'Solvente 1'!D16,"")</f>
        <v/>
      </c>
      <c r="E16" s="19" t="str">
        <f t="shared" si="0"/>
        <v/>
      </c>
      <c r="F16" s="14" t="str">
        <f>IF('Solvente 1'!F16&lt;&gt;"",'Solvente 1'!F16,"")</f>
        <v/>
      </c>
      <c r="G16" s="20"/>
      <c r="H16" s="29" t="str">
        <f t="shared" si="1"/>
        <v>NA</v>
      </c>
      <c r="I16" s="29"/>
    </row>
    <row r="17" spans="2:9" x14ac:dyDescent="0.25">
      <c r="B17" s="37" t="str">
        <f>IF('Solvente 1'!B17:C17&lt;&gt;"",'Solvente 1'!B17:C17,"")</f>
        <v/>
      </c>
      <c r="C17" s="37"/>
      <c r="D17" s="14" t="str">
        <f>IF('Solvente 1'!D17&lt;&gt;"",'Solvente 1'!D17,"")</f>
        <v/>
      </c>
      <c r="E17" s="19" t="str">
        <f t="shared" si="0"/>
        <v/>
      </c>
      <c r="F17" s="14" t="str">
        <f>IF('Solvente 1'!F17&lt;&gt;"",'Solvente 1'!F17,"")</f>
        <v/>
      </c>
      <c r="G17" s="20"/>
      <c r="H17" s="29" t="str">
        <f t="shared" si="1"/>
        <v>NA</v>
      </c>
      <c r="I17" s="29"/>
    </row>
    <row r="18" spans="2:9" x14ac:dyDescent="0.25">
      <c r="B18" s="37" t="str">
        <f>IF('Solvente 1'!B18:C18&lt;&gt;"",'Solvente 1'!B18:C18,"")</f>
        <v/>
      </c>
      <c r="C18" s="37"/>
      <c r="D18" s="14" t="str">
        <f>IF('Solvente 1'!D18&lt;&gt;"",'Solvente 1'!D18,"")</f>
        <v/>
      </c>
      <c r="E18" s="19" t="str">
        <f t="shared" si="0"/>
        <v/>
      </c>
      <c r="F18" s="14" t="str">
        <f>IF('Solvente 1'!F18&lt;&gt;"",'Solvente 1'!F18,"")</f>
        <v/>
      </c>
      <c r="G18" s="20"/>
      <c r="H18" s="29" t="str">
        <f t="shared" si="1"/>
        <v>NA</v>
      </c>
      <c r="I18" s="29"/>
    </row>
    <row r="19" spans="2:9" x14ac:dyDescent="0.25">
      <c r="B19" s="37" t="str">
        <f>IF('Solvente 1'!B19:C19&lt;&gt;"",'Solvente 1'!B19:C19,"")</f>
        <v/>
      </c>
      <c r="C19" s="37"/>
      <c r="D19" s="14" t="str">
        <f>IF('Solvente 1'!D19&lt;&gt;"",'Solvente 1'!D19,"")</f>
        <v/>
      </c>
      <c r="E19" s="19" t="str">
        <f t="shared" si="0"/>
        <v/>
      </c>
      <c r="F19" s="14" t="str">
        <f>IF('Solvente 1'!F19&lt;&gt;"",'Solvente 1'!F19,"")</f>
        <v/>
      </c>
      <c r="G19" s="20"/>
      <c r="H19" s="29" t="str">
        <f t="shared" si="1"/>
        <v>NA</v>
      </c>
      <c r="I19" s="29"/>
    </row>
    <row r="20" spans="2:9" x14ac:dyDescent="0.25">
      <c r="B20" s="37" t="str">
        <f>IF('Solvente 1'!B20:C20&lt;&gt;"",'Solvente 1'!B20:C20,"")</f>
        <v/>
      </c>
      <c r="C20" s="37"/>
      <c r="D20" s="14" t="str">
        <f>IF('Solvente 1'!D20&lt;&gt;"",'Solvente 1'!D20,"")</f>
        <v/>
      </c>
      <c r="E20" s="19" t="str">
        <f t="shared" si="0"/>
        <v/>
      </c>
      <c r="F20" s="14" t="str">
        <f>IF('Solvente 1'!F20&lt;&gt;"",'Solvente 1'!F20,"")</f>
        <v/>
      </c>
      <c r="G20" s="20"/>
      <c r="H20" s="29" t="str">
        <f t="shared" si="1"/>
        <v>NA</v>
      </c>
      <c r="I20" s="29"/>
    </row>
    <row r="21" spans="2:9" x14ac:dyDescent="0.25">
      <c r="B21" s="37" t="str">
        <f>IF('Solvente 1'!B21:C21&lt;&gt;"",'Solvente 1'!B21:C21,"")</f>
        <v/>
      </c>
      <c r="C21" s="37"/>
      <c r="D21" s="14" t="str">
        <f>IF('Solvente 1'!D21&lt;&gt;"",'Solvente 1'!D21,"")</f>
        <v/>
      </c>
      <c r="E21" s="19" t="str">
        <f t="shared" si="0"/>
        <v/>
      </c>
      <c r="F21" s="14" t="str">
        <f>IF('Solvente 1'!F21&lt;&gt;"",'Solvente 1'!F21,"")</f>
        <v/>
      </c>
      <c r="G21" s="20"/>
      <c r="H21" s="29" t="str">
        <f t="shared" si="1"/>
        <v>NA</v>
      </c>
      <c r="I21" s="29"/>
    </row>
    <row r="22" spans="2:9" x14ac:dyDescent="0.25">
      <c r="B22" s="37" t="str">
        <f>IF('Solvente 1'!B22:C22&lt;&gt;"",'Solvente 1'!B22:C22,"")</f>
        <v/>
      </c>
      <c r="C22" s="37"/>
      <c r="D22" s="14" t="str">
        <f>IF('Solvente 1'!D22&lt;&gt;"",'Solvente 1'!D22,"")</f>
        <v/>
      </c>
      <c r="E22" s="19" t="str">
        <f t="shared" si="0"/>
        <v/>
      </c>
      <c r="F22" s="14" t="str">
        <f>IF('Solvente 1'!F22&lt;&gt;"",'Solvente 1'!F22,"")</f>
        <v/>
      </c>
      <c r="G22" s="20"/>
      <c r="H22" s="29" t="str">
        <f t="shared" si="1"/>
        <v>NA</v>
      </c>
      <c r="I22" s="29"/>
    </row>
    <row r="23" spans="2:9" x14ac:dyDescent="0.25">
      <c r="B23" s="37" t="str">
        <f>IF('Solvente 1'!B23:C23&lt;&gt;"",'Solvente 1'!B23:C23,"")</f>
        <v/>
      </c>
      <c r="C23" s="37"/>
      <c r="D23" s="14" t="str">
        <f>IF('Solvente 1'!D23&lt;&gt;"",'Solvente 1'!D23,"")</f>
        <v/>
      </c>
      <c r="E23" s="19" t="str">
        <f t="shared" si="0"/>
        <v/>
      </c>
      <c r="F23" s="14" t="str">
        <f>IF('Solvente 1'!F23&lt;&gt;"",'Solvente 1'!F23,"")</f>
        <v/>
      </c>
      <c r="G23" s="20"/>
      <c r="H23" s="29" t="str">
        <f t="shared" si="1"/>
        <v>NA</v>
      </c>
      <c r="I23" s="29"/>
    </row>
    <row r="24" spans="2:9" x14ac:dyDescent="0.25">
      <c r="B24" s="37" t="str">
        <f>IF('Solvente 1'!B24:C24&lt;&gt;"",'Solvente 1'!B24:C24,"")</f>
        <v/>
      </c>
      <c r="C24" s="37"/>
      <c r="D24" s="14" t="str">
        <f>IF('Solvente 1'!D24&lt;&gt;"",'Solvente 1'!D24,"")</f>
        <v/>
      </c>
      <c r="E24" s="19" t="str">
        <f t="shared" si="0"/>
        <v/>
      </c>
      <c r="F24" s="14" t="str">
        <f>IF('Solvente 1'!F24&lt;&gt;"",'Solvente 1'!F24,"")</f>
        <v/>
      </c>
      <c r="G24" s="20"/>
      <c r="H24" s="29" t="str">
        <f t="shared" si="1"/>
        <v>NA</v>
      </c>
      <c r="I24" s="29"/>
    </row>
    <row r="25" spans="2:9" x14ac:dyDescent="0.25">
      <c r="B25" s="38" t="str">
        <f>IF('Solvente 1'!B25:C25&lt;&gt;"",'Solvente 1'!B25:C25,"")</f>
        <v/>
      </c>
      <c r="C25" s="38"/>
      <c r="D25" s="14" t="str">
        <f>IF('Solvente 1'!D25&lt;&gt;"",'Solvente 1'!D25,"")</f>
        <v/>
      </c>
      <c r="E25" s="19" t="str">
        <f t="shared" si="0"/>
        <v/>
      </c>
      <c r="F25" s="14" t="str">
        <f>IF('Solvente 1'!F25&lt;&gt;"",'Solvente 1'!F25,"")</f>
        <v/>
      </c>
      <c r="G25" s="20"/>
      <c r="H25" s="29" t="str">
        <f t="shared" si="1"/>
        <v>NA</v>
      </c>
      <c r="I25" s="29"/>
    </row>
    <row r="26" spans="2:9" ht="15" customHeight="1" x14ac:dyDescent="0.25">
      <c r="B26" s="30" t="s">
        <v>11</v>
      </c>
      <c r="C26" s="30"/>
      <c r="D26" s="31"/>
      <c r="E26" s="31"/>
      <c r="F26" s="31"/>
      <c r="G26" s="31"/>
      <c r="H26" s="35">
        <f>SUM(H6:H25)</f>
        <v>0.5</v>
      </c>
      <c r="I26" s="35"/>
    </row>
    <row r="27" spans="2:9" x14ac:dyDescent="0.25">
      <c r="H27" s="2"/>
      <c r="I27" s="2"/>
    </row>
    <row r="28" spans="2:9" x14ac:dyDescent="0.25">
      <c r="B28" s="32" t="s">
        <v>4</v>
      </c>
      <c r="C28" s="32"/>
      <c r="D28" s="32"/>
      <c r="E28" s="32"/>
    </row>
    <row r="29" spans="2:9" ht="12.75" customHeight="1" x14ac:dyDescent="0.25">
      <c r="B29" s="25" t="str">
        <f>"* Quantidade da matéria-prima presente no produto final em "&amp;IF(C2="","",IF(C2=$M$1,"(mg/mL)",IF(C2=$M$2,"(mg/com)",IF(C2=$M$3,"(mg/cap)",""))))</f>
        <v>* Quantidade da matéria-prima presente no produto final em (mg/mL)</v>
      </c>
      <c r="C29" s="25"/>
      <c r="D29" s="25"/>
      <c r="E29" s="25"/>
      <c r="F29" s="25"/>
      <c r="G29" s="25"/>
      <c r="H29" s="25"/>
      <c r="I29" s="17"/>
    </row>
    <row r="30" spans="2:9" x14ac:dyDescent="0.25">
      <c r="B30" s="25" t="str">
        <f>"** DDM (dose diária máxima) = Quantidade "&amp;IF(C2="","",IF(C2=$M$1,"(mg/mL)","(mg/g)"))&amp;" x DDT / 1000"</f>
        <v>** DDM (dose diária máxima) = Quantidade (mg/mL) x DDT / 1000</v>
      </c>
      <c r="C30" s="25"/>
      <c r="D30" s="25"/>
      <c r="E30" s="25"/>
      <c r="F30" s="25"/>
      <c r="G30" s="25"/>
      <c r="H30" s="25"/>
      <c r="I30" s="22"/>
    </row>
    <row r="31" spans="2:9" ht="12.75" customHeight="1" x14ac:dyDescent="0.25">
      <c r="B31" s="25" t="s">
        <v>32</v>
      </c>
      <c r="C31" s="25"/>
      <c r="D31" s="25"/>
      <c r="E31" s="25"/>
      <c r="F31" s="25"/>
      <c r="G31" s="25"/>
      <c r="H31" s="25"/>
      <c r="I31" s="17"/>
    </row>
    <row r="32" spans="2:9" ht="12.75" customHeight="1" x14ac:dyDescent="0.25">
      <c r="B32" s="25" t="s">
        <v>5</v>
      </c>
      <c r="C32" s="25"/>
      <c r="D32" s="25"/>
      <c r="E32" s="25"/>
      <c r="F32" s="25"/>
      <c r="G32" s="25"/>
      <c r="H32" s="25"/>
    </row>
    <row r="33" spans="9:9" x14ac:dyDescent="0.25">
      <c r="I33" s="17"/>
    </row>
    <row r="34" spans="9:9" x14ac:dyDescent="0.25">
      <c r="I34" s="17"/>
    </row>
  </sheetData>
  <sheetProtection password="CF7A" sheet="1" objects="1" scenarios="1" formatColumns="0" formatRows="0"/>
  <mergeCells count="50">
    <mergeCell ref="B7:C7"/>
    <mergeCell ref="H7:I7"/>
    <mergeCell ref="B4:I4"/>
    <mergeCell ref="B5:C5"/>
    <mergeCell ref="H5:I5"/>
    <mergeCell ref="B6:C6"/>
    <mergeCell ref="H6:I6"/>
    <mergeCell ref="B8:C8"/>
    <mergeCell ref="H8:I8"/>
    <mergeCell ref="B9:C9"/>
    <mergeCell ref="H9:I9"/>
    <mergeCell ref="B10:C10"/>
    <mergeCell ref="H10:I10"/>
    <mergeCell ref="B11:C11"/>
    <mergeCell ref="H11:I11"/>
    <mergeCell ref="B12:C12"/>
    <mergeCell ref="H12:I12"/>
    <mergeCell ref="B13:C13"/>
    <mergeCell ref="H13:I13"/>
    <mergeCell ref="B14:C14"/>
    <mergeCell ref="H14:I14"/>
    <mergeCell ref="B15:C15"/>
    <mergeCell ref="H15:I15"/>
    <mergeCell ref="B16:C16"/>
    <mergeCell ref="H16:I16"/>
    <mergeCell ref="B17:C17"/>
    <mergeCell ref="H17:I17"/>
    <mergeCell ref="B18:C18"/>
    <mergeCell ref="H18:I18"/>
    <mergeCell ref="B19:C19"/>
    <mergeCell ref="H19:I19"/>
    <mergeCell ref="B20:C20"/>
    <mergeCell ref="H20:I20"/>
    <mergeCell ref="B21:C21"/>
    <mergeCell ref="H21:I21"/>
    <mergeCell ref="B22:C22"/>
    <mergeCell ref="H22:I22"/>
    <mergeCell ref="B23:C23"/>
    <mergeCell ref="H23:I23"/>
    <mergeCell ref="B24:C24"/>
    <mergeCell ref="H24:I24"/>
    <mergeCell ref="B25:C25"/>
    <mergeCell ref="H25:I25"/>
    <mergeCell ref="B32:H32"/>
    <mergeCell ref="B26:G26"/>
    <mergeCell ref="H26:I26"/>
    <mergeCell ref="B28:E28"/>
    <mergeCell ref="B29:H29"/>
    <mergeCell ref="B30:H30"/>
    <mergeCell ref="B31:H31"/>
  </mergeCells>
  <conditionalFormatting sqref="H26:I26">
    <cfRule type="cellIs" dxfId="4" priority="5" operator="greaterThan">
      <formula>$I$2</formula>
    </cfRule>
  </conditionalFormatting>
  <conditionalFormatting sqref="F2">
    <cfRule type="expression" dxfId="3" priority="1">
      <formula>$F$2=0</formula>
    </cfRule>
    <cfRule type="expression" dxfId="2" priority="2">
      <formula>$C$2=$M$3</formula>
    </cfRule>
    <cfRule type="expression" dxfId="1" priority="3">
      <formula>$C$2=$M$2</formula>
    </cfRule>
    <cfRule type="expression" dxfId="0" priority="4">
      <formula>$C$2=$M$1</formula>
    </cfRule>
  </conditionalFormatting>
  <dataValidations count="1">
    <dataValidation type="list" allowBlank="1" showInputMessage="1" showErrorMessage="1" sqref="D3">
      <formula1>$M$1:$M$2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Solvente 1</vt:lpstr>
      <vt:lpstr>Solvente 2</vt:lpstr>
      <vt:lpstr>Solvente 3</vt:lpstr>
      <vt:lpstr>Solvente 4</vt:lpstr>
      <vt:lpstr>Solvente 5</vt:lpstr>
      <vt:lpstr>Solvente 6</vt:lpstr>
      <vt:lpstr>Solvente 7</vt:lpstr>
      <vt:lpstr>Solvente 8</vt:lpstr>
      <vt:lpstr>Solvente 9</vt:lpstr>
      <vt:lpstr>Solvente 10</vt:lpstr>
      <vt:lpstr>Solvente 11</vt:lpstr>
      <vt:lpstr>Solvente 12</vt:lpstr>
      <vt:lpstr>Solvente 13</vt:lpstr>
      <vt:lpstr>Solvente 14</vt:lpstr>
      <vt:lpstr>Solvente 15</vt:lpstr>
      <vt:lpstr>Solvente 16</vt:lpstr>
      <vt:lpstr>Solvente 17</vt:lpstr>
      <vt:lpstr>Solvente 18</vt:lpstr>
    </vt:vector>
  </TitlesOfParts>
  <Company>Hypermarcas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Hellen Pereira Lima</dc:creator>
  <cp:lastModifiedBy>Guilherme Cascardo</cp:lastModifiedBy>
  <dcterms:created xsi:type="dcterms:W3CDTF">2019-03-15T12:45:22Z</dcterms:created>
  <dcterms:modified xsi:type="dcterms:W3CDTF">2019-04-22T16:15:25Z</dcterms:modified>
</cp:coreProperties>
</file>