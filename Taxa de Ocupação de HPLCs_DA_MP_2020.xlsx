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&amp;D Hynova\Pré-Formulação\MATÉRIA-PRIMA\Programação Equipamentos\"/>
    </mc:Choice>
  </mc:AlternateContent>
  <bookViews>
    <workbookView xWindow="480" yWindow="600" windowWidth="15600" windowHeight="11280" tabRatio="626" activeTab="1"/>
  </bookViews>
  <sheets>
    <sheet name="USO ANUAL" sheetId="4" r:id="rId1"/>
    <sheet name="MP_Jan.20" sheetId="10" r:id="rId2"/>
    <sheet name="MP_Fev.20" sheetId="11" r:id="rId3"/>
    <sheet name="MP_Mar.20" sheetId="12" r:id="rId4"/>
    <sheet name="MP_Abr.20" sheetId="13" r:id="rId5"/>
    <sheet name="MP_Mai.20" sheetId="14" r:id="rId6"/>
    <sheet name="MP_Jun.20" sheetId="15" r:id="rId7"/>
    <sheet name="MP_Jul.20" sheetId="16" r:id="rId8"/>
    <sheet name="MP_Ago.20" sheetId="17" r:id="rId9"/>
    <sheet name="MP_Set.20" sheetId="18" r:id="rId10"/>
    <sheet name="MP_Out.20" sheetId="19" r:id="rId11"/>
    <sheet name="MP_Nov.20" sheetId="20" r:id="rId12"/>
    <sheet name="MP_Dez.20" sheetId="21" r:id="rId13"/>
  </sheets>
  <definedNames>
    <definedName name="_xlnm._FilterDatabase" localSheetId="4" hidden="1">MP_Abr.20!$B$6:$D$12</definedName>
    <definedName name="_xlnm._FilterDatabase" localSheetId="8" hidden="1">MP_Ago.20!$B$6:$D$12</definedName>
    <definedName name="_xlnm._FilterDatabase" localSheetId="12" hidden="1">MP_Dez.20!$B$6:$D$12</definedName>
    <definedName name="_xlnm._FilterDatabase" localSheetId="2" hidden="1">MP_Fev.20!$B$6:$D$12</definedName>
    <definedName name="_xlnm._FilterDatabase" localSheetId="1" hidden="1">MP_Jan.20!$B$6:$D$12</definedName>
    <definedName name="_xlnm._FilterDatabase" localSheetId="7" hidden="1">MP_Jul.20!$B$6:$D$12</definedName>
    <definedName name="_xlnm._FilterDatabase" localSheetId="6" hidden="1">MP_Jun.20!$B$6:$D$12</definedName>
    <definedName name="_xlnm._FilterDatabase" localSheetId="5" hidden="1">MP_Mai.20!$B$6:$D$12</definedName>
    <definedName name="_xlnm._FilterDatabase" localSheetId="3" hidden="1">MP_Mar.20!$B$6:$D$12</definedName>
    <definedName name="_xlnm._FilterDatabase" localSheetId="11" hidden="1">MP_Nov.20!$B$6:$D$12</definedName>
    <definedName name="_xlnm._FilterDatabase" localSheetId="10" hidden="1">MP_Out.20!$B$6:$D$12</definedName>
    <definedName name="_xlnm._FilterDatabase" localSheetId="9" hidden="1">MP_Set.20!$B$6:$D$12</definedName>
    <definedName name="_xlnm._FilterDatabase" localSheetId="0" hidden="1">'USO ANUAL'!$C$8:$E$12</definedName>
    <definedName name="Z_02988DE1_BC1C_49B5_92FA_6AA359260C33_.wvu.FilterData" localSheetId="0" hidden="1">'USO ANUAL'!$C$8:$E$12</definedName>
    <definedName name="Z_0D234563_961F_4340_A7C2_B1B00F1A986F_.wvu.FilterData" localSheetId="4" hidden="1">MP_Abr.20!$B$6:$D$12</definedName>
    <definedName name="Z_0D234563_961F_4340_A7C2_B1B00F1A986F_.wvu.FilterData" localSheetId="8" hidden="1">MP_Ago.20!$B$6:$D$12</definedName>
    <definedName name="Z_0D234563_961F_4340_A7C2_B1B00F1A986F_.wvu.FilterData" localSheetId="12" hidden="1">MP_Dez.20!$B$6:$D$12</definedName>
    <definedName name="Z_0D234563_961F_4340_A7C2_B1B00F1A986F_.wvu.FilterData" localSheetId="2" hidden="1">MP_Fev.20!$B$6:$D$12</definedName>
    <definedName name="Z_0D234563_961F_4340_A7C2_B1B00F1A986F_.wvu.FilterData" localSheetId="1" hidden="1">MP_Jan.20!$B$6:$D$12</definedName>
    <definedName name="Z_0D234563_961F_4340_A7C2_B1B00F1A986F_.wvu.FilterData" localSheetId="7" hidden="1">MP_Jul.20!$B$6:$D$12</definedName>
    <definedName name="Z_0D234563_961F_4340_A7C2_B1B00F1A986F_.wvu.FilterData" localSheetId="6" hidden="1">MP_Jun.20!$B$6:$D$12</definedName>
    <definedName name="Z_0D234563_961F_4340_A7C2_B1B00F1A986F_.wvu.FilterData" localSheetId="5" hidden="1">MP_Mai.20!$B$6:$D$12</definedName>
    <definedName name="Z_0D234563_961F_4340_A7C2_B1B00F1A986F_.wvu.FilterData" localSheetId="3" hidden="1">MP_Mar.20!$B$6:$D$12</definedName>
    <definedName name="Z_0D234563_961F_4340_A7C2_B1B00F1A986F_.wvu.FilterData" localSheetId="11" hidden="1">MP_Nov.20!$B$6:$D$12</definedName>
    <definedName name="Z_0D234563_961F_4340_A7C2_B1B00F1A986F_.wvu.FilterData" localSheetId="10" hidden="1">MP_Out.20!$B$6:$D$12</definedName>
    <definedName name="Z_0D234563_961F_4340_A7C2_B1B00F1A986F_.wvu.FilterData" localSheetId="9" hidden="1">MP_Set.20!$B$6:$D$12</definedName>
    <definedName name="Z_0D234563_961F_4340_A7C2_B1B00F1A986F_.wvu.FilterData" localSheetId="0" hidden="1">'USO ANUAL'!$C$8:$E$12</definedName>
    <definedName name="Z_0D234563_961F_4340_A7C2_B1B00F1A986F_.wvu.Rows" localSheetId="4" hidden="1">MP_Abr.20!#REF!</definedName>
    <definedName name="Z_0D234563_961F_4340_A7C2_B1B00F1A986F_.wvu.Rows" localSheetId="8" hidden="1">MP_Ago.20!#REF!</definedName>
    <definedName name="Z_0D234563_961F_4340_A7C2_B1B00F1A986F_.wvu.Rows" localSheetId="12" hidden="1">MP_Dez.20!#REF!</definedName>
    <definedName name="Z_0D234563_961F_4340_A7C2_B1B00F1A986F_.wvu.Rows" localSheetId="2" hidden="1">MP_Fev.20!#REF!</definedName>
    <definedName name="Z_0D234563_961F_4340_A7C2_B1B00F1A986F_.wvu.Rows" localSheetId="1" hidden="1">MP_Jan.20!#REF!</definedName>
    <definedName name="Z_0D234563_961F_4340_A7C2_B1B00F1A986F_.wvu.Rows" localSheetId="7" hidden="1">MP_Jul.20!#REF!</definedName>
    <definedName name="Z_0D234563_961F_4340_A7C2_B1B00F1A986F_.wvu.Rows" localSheetId="6" hidden="1">MP_Jun.20!#REF!</definedName>
    <definedName name="Z_0D234563_961F_4340_A7C2_B1B00F1A986F_.wvu.Rows" localSheetId="5" hidden="1">MP_Mai.20!#REF!</definedName>
    <definedName name="Z_0D234563_961F_4340_A7C2_B1B00F1A986F_.wvu.Rows" localSheetId="3" hidden="1">MP_Mar.20!#REF!</definedName>
    <definedName name="Z_0D234563_961F_4340_A7C2_B1B00F1A986F_.wvu.Rows" localSheetId="11" hidden="1">MP_Nov.20!#REF!</definedName>
    <definedName name="Z_0D234563_961F_4340_A7C2_B1B00F1A986F_.wvu.Rows" localSheetId="10" hidden="1">MP_Out.20!#REF!</definedName>
    <definedName name="Z_0D234563_961F_4340_A7C2_B1B00F1A986F_.wvu.Rows" localSheetId="9" hidden="1">MP_Set.20!#REF!</definedName>
    <definedName name="Z_0D558F32_1135_45CE_B8FF_BE15BDABEE94_.wvu.FilterData" localSheetId="0" hidden="1">'USO ANUAL'!$C$8:$E$12</definedName>
    <definedName name="Z_107FA32A_9AEB_4E37_983D_75B931B4D172_.wvu.FilterData" localSheetId="4" hidden="1">MP_Abr.20!$B$6:$D$12</definedName>
    <definedName name="Z_107FA32A_9AEB_4E37_983D_75B931B4D172_.wvu.FilterData" localSheetId="8" hidden="1">MP_Ago.20!$B$6:$D$12</definedName>
    <definedName name="Z_107FA32A_9AEB_4E37_983D_75B931B4D172_.wvu.FilterData" localSheetId="12" hidden="1">MP_Dez.20!$B$6:$D$12</definedName>
    <definedName name="Z_107FA32A_9AEB_4E37_983D_75B931B4D172_.wvu.FilterData" localSheetId="2" hidden="1">MP_Fev.20!$B$6:$D$12</definedName>
    <definedName name="Z_107FA32A_9AEB_4E37_983D_75B931B4D172_.wvu.FilterData" localSheetId="1" hidden="1">MP_Jan.20!$B$6:$D$12</definedName>
    <definedName name="Z_107FA32A_9AEB_4E37_983D_75B931B4D172_.wvu.FilterData" localSheetId="7" hidden="1">MP_Jul.20!$B$6:$D$12</definedName>
    <definedName name="Z_107FA32A_9AEB_4E37_983D_75B931B4D172_.wvu.FilterData" localSheetId="6" hidden="1">MP_Jun.20!$B$6:$D$12</definedName>
    <definedName name="Z_107FA32A_9AEB_4E37_983D_75B931B4D172_.wvu.FilterData" localSheetId="5" hidden="1">MP_Mai.20!$B$6:$D$12</definedName>
    <definedName name="Z_107FA32A_9AEB_4E37_983D_75B931B4D172_.wvu.FilterData" localSheetId="3" hidden="1">MP_Mar.20!$B$6:$D$12</definedName>
    <definedName name="Z_107FA32A_9AEB_4E37_983D_75B931B4D172_.wvu.FilterData" localSheetId="11" hidden="1">MP_Nov.20!$B$6:$D$12</definedName>
    <definedName name="Z_107FA32A_9AEB_4E37_983D_75B931B4D172_.wvu.FilterData" localSheetId="10" hidden="1">MP_Out.20!$B$6:$D$12</definedName>
    <definedName name="Z_107FA32A_9AEB_4E37_983D_75B931B4D172_.wvu.FilterData" localSheetId="9" hidden="1">MP_Set.20!$B$6:$D$12</definedName>
    <definedName name="Z_107FA32A_9AEB_4E37_983D_75B931B4D172_.wvu.FilterData" localSheetId="0" hidden="1">'USO ANUAL'!$C$8:$E$12</definedName>
    <definedName name="Z_160BEE37_D768_42F5_9196_E2C6DC1A25AD_.wvu.FilterData" localSheetId="4" hidden="1">MP_Abr.20!$B$6:$D$12</definedName>
    <definedName name="Z_160BEE37_D768_42F5_9196_E2C6DC1A25AD_.wvu.FilterData" localSheetId="8" hidden="1">MP_Ago.20!$B$6:$D$12</definedName>
    <definedName name="Z_160BEE37_D768_42F5_9196_E2C6DC1A25AD_.wvu.FilterData" localSheetId="12" hidden="1">MP_Dez.20!$B$6:$D$12</definedName>
    <definedName name="Z_160BEE37_D768_42F5_9196_E2C6DC1A25AD_.wvu.FilterData" localSheetId="2" hidden="1">MP_Fev.20!$B$6:$D$12</definedName>
    <definedName name="Z_160BEE37_D768_42F5_9196_E2C6DC1A25AD_.wvu.FilterData" localSheetId="1" hidden="1">MP_Jan.20!$B$6:$D$12</definedName>
    <definedName name="Z_160BEE37_D768_42F5_9196_E2C6DC1A25AD_.wvu.FilterData" localSheetId="7" hidden="1">MP_Jul.20!$B$6:$D$12</definedName>
    <definedName name="Z_160BEE37_D768_42F5_9196_E2C6DC1A25AD_.wvu.FilterData" localSheetId="6" hidden="1">MP_Jun.20!$B$6:$D$12</definedName>
    <definedName name="Z_160BEE37_D768_42F5_9196_E2C6DC1A25AD_.wvu.FilterData" localSheetId="5" hidden="1">MP_Mai.20!$B$6:$D$12</definedName>
    <definedName name="Z_160BEE37_D768_42F5_9196_E2C6DC1A25AD_.wvu.FilterData" localSheetId="3" hidden="1">MP_Mar.20!$B$6:$D$12</definedName>
    <definedName name="Z_160BEE37_D768_42F5_9196_E2C6DC1A25AD_.wvu.FilterData" localSheetId="11" hidden="1">MP_Nov.20!$B$6:$D$12</definedName>
    <definedName name="Z_160BEE37_D768_42F5_9196_E2C6DC1A25AD_.wvu.FilterData" localSheetId="10" hidden="1">MP_Out.20!$B$6:$D$12</definedName>
    <definedName name="Z_160BEE37_D768_42F5_9196_E2C6DC1A25AD_.wvu.FilterData" localSheetId="9" hidden="1">MP_Set.20!$B$6:$D$12</definedName>
    <definedName name="Z_16AD91D1_E1A6_42DF_8928_BBCC2C76B902_.wvu.FilterData" localSheetId="4" hidden="1">MP_Abr.20!$B$6:$D$12</definedName>
    <definedName name="Z_16AD91D1_E1A6_42DF_8928_BBCC2C76B902_.wvu.FilterData" localSheetId="8" hidden="1">MP_Ago.20!$B$6:$D$12</definedName>
    <definedName name="Z_16AD91D1_E1A6_42DF_8928_BBCC2C76B902_.wvu.FilterData" localSheetId="12" hidden="1">MP_Dez.20!$B$6:$D$12</definedName>
    <definedName name="Z_16AD91D1_E1A6_42DF_8928_BBCC2C76B902_.wvu.FilterData" localSheetId="2" hidden="1">MP_Fev.20!$B$6:$D$12</definedName>
    <definedName name="Z_16AD91D1_E1A6_42DF_8928_BBCC2C76B902_.wvu.FilterData" localSheetId="1" hidden="1">MP_Jan.20!$B$6:$D$12</definedName>
    <definedName name="Z_16AD91D1_E1A6_42DF_8928_BBCC2C76B902_.wvu.FilterData" localSheetId="7" hidden="1">MP_Jul.20!$B$6:$D$12</definedName>
    <definedName name="Z_16AD91D1_E1A6_42DF_8928_BBCC2C76B902_.wvu.FilterData" localSheetId="6" hidden="1">MP_Jun.20!$B$6:$D$12</definedName>
    <definedName name="Z_16AD91D1_E1A6_42DF_8928_BBCC2C76B902_.wvu.FilterData" localSheetId="5" hidden="1">MP_Mai.20!$B$6:$D$12</definedName>
    <definedName name="Z_16AD91D1_E1A6_42DF_8928_BBCC2C76B902_.wvu.FilterData" localSheetId="3" hidden="1">MP_Mar.20!$B$6:$D$12</definedName>
    <definedName name="Z_16AD91D1_E1A6_42DF_8928_BBCC2C76B902_.wvu.FilterData" localSheetId="11" hidden="1">MP_Nov.20!$B$6:$D$12</definedName>
    <definedName name="Z_16AD91D1_E1A6_42DF_8928_BBCC2C76B902_.wvu.FilterData" localSheetId="10" hidden="1">MP_Out.20!$B$6:$D$12</definedName>
    <definedName name="Z_16AD91D1_E1A6_42DF_8928_BBCC2C76B902_.wvu.FilterData" localSheetId="9" hidden="1">MP_Set.20!$B$6:$D$12</definedName>
    <definedName name="Z_186D8D84_BD45_49A1_AAAB_C333B74AB609_.wvu.FilterData" localSheetId="0" hidden="1">'USO ANUAL'!$C$8:$E$12</definedName>
    <definedName name="Z_1DDC4FE0_6734_4A3B_871E_C94E54E0A49C_.wvu.FilterData" localSheetId="0" hidden="1">'USO ANUAL'!$C$8:$E$12</definedName>
    <definedName name="Z_1E4C9977_CDC2_47DA_8360_1A4470857937_.wvu.FilterData" localSheetId="4" hidden="1">MP_Abr.20!$B$6:$D$12</definedName>
    <definedName name="Z_1E4C9977_CDC2_47DA_8360_1A4470857937_.wvu.FilterData" localSheetId="8" hidden="1">MP_Ago.20!$B$6:$D$12</definedName>
    <definedName name="Z_1E4C9977_CDC2_47DA_8360_1A4470857937_.wvu.FilterData" localSheetId="12" hidden="1">MP_Dez.20!$B$6:$D$12</definedName>
    <definedName name="Z_1E4C9977_CDC2_47DA_8360_1A4470857937_.wvu.FilterData" localSheetId="2" hidden="1">MP_Fev.20!$B$6:$D$12</definedName>
    <definedName name="Z_1E4C9977_CDC2_47DA_8360_1A4470857937_.wvu.FilterData" localSheetId="1" hidden="1">MP_Jan.20!$B$6:$D$12</definedName>
    <definedName name="Z_1E4C9977_CDC2_47DA_8360_1A4470857937_.wvu.FilterData" localSheetId="7" hidden="1">MP_Jul.20!$B$6:$D$12</definedName>
    <definedName name="Z_1E4C9977_CDC2_47DA_8360_1A4470857937_.wvu.FilterData" localSheetId="6" hidden="1">MP_Jun.20!$B$6:$D$12</definedName>
    <definedName name="Z_1E4C9977_CDC2_47DA_8360_1A4470857937_.wvu.FilterData" localSheetId="5" hidden="1">MP_Mai.20!$B$6:$D$12</definedName>
    <definedName name="Z_1E4C9977_CDC2_47DA_8360_1A4470857937_.wvu.FilterData" localSheetId="3" hidden="1">MP_Mar.20!$B$6:$D$12</definedName>
    <definedName name="Z_1E4C9977_CDC2_47DA_8360_1A4470857937_.wvu.FilterData" localSheetId="11" hidden="1">MP_Nov.20!$B$6:$D$12</definedName>
    <definedName name="Z_1E4C9977_CDC2_47DA_8360_1A4470857937_.wvu.FilterData" localSheetId="10" hidden="1">MP_Out.20!$B$6:$D$12</definedName>
    <definedName name="Z_1E4C9977_CDC2_47DA_8360_1A4470857937_.wvu.FilterData" localSheetId="9" hidden="1">MP_Set.20!$B$6:$D$12</definedName>
    <definedName name="Z_1E4C9977_CDC2_47DA_8360_1A4470857937_.wvu.FilterData" localSheetId="0" hidden="1">'USO ANUAL'!$C$8:$E$12</definedName>
    <definedName name="Z_1E4C9977_CDC2_47DA_8360_1A4470857937_.wvu.Rows" localSheetId="4" hidden="1">MP_Abr.20!#REF!</definedName>
    <definedName name="Z_1E4C9977_CDC2_47DA_8360_1A4470857937_.wvu.Rows" localSheetId="8" hidden="1">MP_Ago.20!#REF!</definedName>
    <definedName name="Z_1E4C9977_CDC2_47DA_8360_1A4470857937_.wvu.Rows" localSheetId="12" hidden="1">MP_Dez.20!#REF!</definedName>
    <definedName name="Z_1E4C9977_CDC2_47DA_8360_1A4470857937_.wvu.Rows" localSheetId="2" hidden="1">MP_Fev.20!#REF!</definedName>
    <definedName name="Z_1E4C9977_CDC2_47DA_8360_1A4470857937_.wvu.Rows" localSheetId="1" hidden="1">MP_Jan.20!#REF!</definedName>
    <definedName name="Z_1E4C9977_CDC2_47DA_8360_1A4470857937_.wvu.Rows" localSheetId="7" hidden="1">MP_Jul.20!#REF!</definedName>
    <definedName name="Z_1E4C9977_CDC2_47DA_8360_1A4470857937_.wvu.Rows" localSheetId="6" hidden="1">MP_Jun.20!#REF!</definedName>
    <definedName name="Z_1E4C9977_CDC2_47DA_8360_1A4470857937_.wvu.Rows" localSheetId="5" hidden="1">MP_Mai.20!#REF!</definedName>
    <definedName name="Z_1E4C9977_CDC2_47DA_8360_1A4470857937_.wvu.Rows" localSheetId="3" hidden="1">MP_Mar.20!#REF!</definedName>
    <definedName name="Z_1E4C9977_CDC2_47DA_8360_1A4470857937_.wvu.Rows" localSheetId="11" hidden="1">MP_Nov.20!#REF!</definedName>
    <definedName name="Z_1E4C9977_CDC2_47DA_8360_1A4470857937_.wvu.Rows" localSheetId="10" hidden="1">MP_Out.20!#REF!</definedName>
    <definedName name="Z_1E4C9977_CDC2_47DA_8360_1A4470857937_.wvu.Rows" localSheetId="9" hidden="1">MP_Set.20!#REF!</definedName>
    <definedName name="Z_1F36AC54_417E_4E45_B178_CF9FFC45BDE6_.wvu.FilterData" localSheetId="4" hidden="1">MP_Abr.20!$B$6:$D$12</definedName>
    <definedName name="Z_1F36AC54_417E_4E45_B178_CF9FFC45BDE6_.wvu.FilterData" localSheetId="8" hidden="1">MP_Ago.20!$B$6:$D$12</definedName>
    <definedName name="Z_1F36AC54_417E_4E45_B178_CF9FFC45BDE6_.wvu.FilterData" localSheetId="12" hidden="1">MP_Dez.20!$B$6:$D$12</definedName>
    <definedName name="Z_1F36AC54_417E_4E45_B178_CF9FFC45BDE6_.wvu.FilterData" localSheetId="2" hidden="1">MP_Fev.20!$B$6:$D$12</definedName>
    <definedName name="Z_1F36AC54_417E_4E45_B178_CF9FFC45BDE6_.wvu.FilterData" localSheetId="1" hidden="1">MP_Jan.20!$B$6:$D$12</definedName>
    <definedName name="Z_1F36AC54_417E_4E45_B178_CF9FFC45BDE6_.wvu.FilterData" localSheetId="7" hidden="1">MP_Jul.20!$B$6:$D$12</definedName>
    <definedName name="Z_1F36AC54_417E_4E45_B178_CF9FFC45BDE6_.wvu.FilterData" localSheetId="6" hidden="1">MP_Jun.20!$B$6:$D$12</definedName>
    <definedName name="Z_1F36AC54_417E_4E45_B178_CF9FFC45BDE6_.wvu.FilterData" localSheetId="5" hidden="1">MP_Mai.20!$B$6:$D$12</definedName>
    <definedName name="Z_1F36AC54_417E_4E45_B178_CF9FFC45BDE6_.wvu.FilterData" localSheetId="3" hidden="1">MP_Mar.20!$B$6:$D$12</definedName>
    <definedName name="Z_1F36AC54_417E_4E45_B178_CF9FFC45BDE6_.wvu.FilterData" localSheetId="11" hidden="1">MP_Nov.20!$B$6:$D$12</definedName>
    <definedName name="Z_1F36AC54_417E_4E45_B178_CF9FFC45BDE6_.wvu.FilterData" localSheetId="10" hidden="1">MP_Out.20!$B$6:$D$12</definedName>
    <definedName name="Z_1F36AC54_417E_4E45_B178_CF9FFC45BDE6_.wvu.FilterData" localSheetId="9" hidden="1">MP_Set.20!$B$6:$D$12</definedName>
    <definedName name="Z_234CA469_B348_488A_9050_070FD2EA4F92_.wvu.FilterData" localSheetId="4" hidden="1">MP_Abr.20!$B$6:$D$12</definedName>
    <definedName name="Z_234CA469_B348_488A_9050_070FD2EA4F92_.wvu.FilterData" localSheetId="8" hidden="1">MP_Ago.20!$B$6:$D$12</definedName>
    <definedName name="Z_234CA469_B348_488A_9050_070FD2EA4F92_.wvu.FilterData" localSheetId="12" hidden="1">MP_Dez.20!$B$6:$D$12</definedName>
    <definedName name="Z_234CA469_B348_488A_9050_070FD2EA4F92_.wvu.FilterData" localSheetId="2" hidden="1">MP_Fev.20!$B$6:$D$12</definedName>
    <definedName name="Z_234CA469_B348_488A_9050_070FD2EA4F92_.wvu.FilterData" localSheetId="1" hidden="1">MP_Jan.20!$B$6:$D$12</definedName>
    <definedName name="Z_234CA469_B348_488A_9050_070FD2EA4F92_.wvu.FilterData" localSheetId="7" hidden="1">MP_Jul.20!$B$6:$D$12</definedName>
    <definedName name="Z_234CA469_B348_488A_9050_070FD2EA4F92_.wvu.FilterData" localSheetId="6" hidden="1">MP_Jun.20!$B$6:$D$12</definedName>
    <definedName name="Z_234CA469_B348_488A_9050_070FD2EA4F92_.wvu.FilterData" localSheetId="5" hidden="1">MP_Mai.20!$B$6:$D$12</definedName>
    <definedName name="Z_234CA469_B348_488A_9050_070FD2EA4F92_.wvu.FilterData" localSheetId="3" hidden="1">MP_Mar.20!$B$6:$D$12</definedName>
    <definedName name="Z_234CA469_B348_488A_9050_070FD2EA4F92_.wvu.FilterData" localSheetId="11" hidden="1">MP_Nov.20!$B$6:$D$12</definedName>
    <definedName name="Z_234CA469_B348_488A_9050_070FD2EA4F92_.wvu.FilterData" localSheetId="10" hidden="1">MP_Out.20!$B$6:$D$12</definedName>
    <definedName name="Z_234CA469_B348_488A_9050_070FD2EA4F92_.wvu.FilterData" localSheetId="9" hidden="1">MP_Set.20!$B$6:$D$12</definedName>
    <definedName name="Z_234CA469_B348_488A_9050_070FD2EA4F92_.wvu.FilterData" localSheetId="0" hidden="1">'USO ANUAL'!$C$8:$E$12</definedName>
    <definedName name="Z_2864DAEA_F2F2_41CD_8A36_FAC203D0594D_.wvu.FilterData" localSheetId="4" hidden="1">MP_Abr.20!$B$6:$D$12</definedName>
    <definedName name="Z_2864DAEA_F2F2_41CD_8A36_FAC203D0594D_.wvu.FilterData" localSheetId="8" hidden="1">MP_Ago.20!$B$6:$D$12</definedName>
    <definedName name="Z_2864DAEA_F2F2_41CD_8A36_FAC203D0594D_.wvu.FilterData" localSheetId="12" hidden="1">MP_Dez.20!$B$6:$D$12</definedName>
    <definedName name="Z_2864DAEA_F2F2_41CD_8A36_FAC203D0594D_.wvu.FilterData" localSheetId="2" hidden="1">MP_Fev.20!$B$6:$D$12</definedName>
    <definedName name="Z_2864DAEA_F2F2_41CD_8A36_FAC203D0594D_.wvu.FilterData" localSheetId="1" hidden="1">MP_Jan.20!$B$6:$D$12</definedName>
    <definedName name="Z_2864DAEA_F2F2_41CD_8A36_FAC203D0594D_.wvu.FilterData" localSheetId="7" hidden="1">MP_Jul.20!$B$6:$D$12</definedName>
    <definedName name="Z_2864DAEA_F2F2_41CD_8A36_FAC203D0594D_.wvu.FilterData" localSheetId="6" hidden="1">MP_Jun.20!$B$6:$D$12</definedName>
    <definedName name="Z_2864DAEA_F2F2_41CD_8A36_FAC203D0594D_.wvu.FilterData" localSheetId="5" hidden="1">MP_Mai.20!$B$6:$D$12</definedName>
    <definedName name="Z_2864DAEA_F2F2_41CD_8A36_FAC203D0594D_.wvu.FilterData" localSheetId="3" hidden="1">MP_Mar.20!$B$6:$D$12</definedName>
    <definedName name="Z_2864DAEA_F2F2_41CD_8A36_FAC203D0594D_.wvu.FilterData" localSheetId="11" hidden="1">MP_Nov.20!$B$6:$D$12</definedName>
    <definedName name="Z_2864DAEA_F2F2_41CD_8A36_FAC203D0594D_.wvu.FilterData" localSheetId="10" hidden="1">MP_Out.20!$B$6:$D$12</definedName>
    <definedName name="Z_2864DAEA_F2F2_41CD_8A36_FAC203D0594D_.wvu.FilterData" localSheetId="9" hidden="1">MP_Set.20!$B$6:$D$12</definedName>
    <definedName name="Z_2864DAEA_F2F2_41CD_8A36_FAC203D0594D_.wvu.FilterData" localSheetId="0" hidden="1">'USO ANUAL'!$C$8:$E$12</definedName>
    <definedName name="Z_2864DAEA_F2F2_41CD_8A36_FAC203D0594D_.wvu.Rows" localSheetId="4" hidden="1">MP_Abr.20!#REF!</definedName>
    <definedName name="Z_2864DAEA_F2F2_41CD_8A36_FAC203D0594D_.wvu.Rows" localSheetId="8" hidden="1">MP_Ago.20!#REF!</definedName>
    <definedName name="Z_2864DAEA_F2F2_41CD_8A36_FAC203D0594D_.wvu.Rows" localSheetId="12" hidden="1">MP_Dez.20!#REF!</definedName>
    <definedName name="Z_2864DAEA_F2F2_41CD_8A36_FAC203D0594D_.wvu.Rows" localSheetId="2" hidden="1">MP_Fev.20!#REF!</definedName>
    <definedName name="Z_2864DAEA_F2F2_41CD_8A36_FAC203D0594D_.wvu.Rows" localSheetId="1" hidden="1">MP_Jan.20!#REF!</definedName>
    <definedName name="Z_2864DAEA_F2F2_41CD_8A36_FAC203D0594D_.wvu.Rows" localSheetId="7" hidden="1">MP_Jul.20!#REF!</definedName>
    <definedName name="Z_2864DAEA_F2F2_41CD_8A36_FAC203D0594D_.wvu.Rows" localSheetId="6" hidden="1">MP_Jun.20!#REF!</definedName>
    <definedName name="Z_2864DAEA_F2F2_41CD_8A36_FAC203D0594D_.wvu.Rows" localSheetId="5" hidden="1">MP_Mai.20!#REF!</definedName>
    <definedName name="Z_2864DAEA_F2F2_41CD_8A36_FAC203D0594D_.wvu.Rows" localSheetId="3" hidden="1">MP_Mar.20!#REF!</definedName>
    <definedName name="Z_2864DAEA_F2F2_41CD_8A36_FAC203D0594D_.wvu.Rows" localSheetId="11" hidden="1">MP_Nov.20!#REF!</definedName>
    <definedName name="Z_2864DAEA_F2F2_41CD_8A36_FAC203D0594D_.wvu.Rows" localSheetId="10" hidden="1">MP_Out.20!#REF!</definedName>
    <definedName name="Z_2864DAEA_F2F2_41CD_8A36_FAC203D0594D_.wvu.Rows" localSheetId="9" hidden="1">MP_Set.20!#REF!</definedName>
    <definedName name="Z_287A9710_F224_4DCC_92E7_79CAACB58A82_.wvu.FilterData" localSheetId="4" hidden="1">MP_Abr.20!$B$6:$D$12</definedName>
    <definedName name="Z_287A9710_F224_4DCC_92E7_79CAACB58A82_.wvu.FilterData" localSheetId="8" hidden="1">MP_Ago.20!$B$6:$D$12</definedName>
    <definedName name="Z_287A9710_F224_4DCC_92E7_79CAACB58A82_.wvu.FilterData" localSheetId="12" hidden="1">MP_Dez.20!$B$6:$D$12</definedName>
    <definedName name="Z_287A9710_F224_4DCC_92E7_79CAACB58A82_.wvu.FilterData" localSheetId="2" hidden="1">MP_Fev.20!$B$6:$D$12</definedName>
    <definedName name="Z_287A9710_F224_4DCC_92E7_79CAACB58A82_.wvu.FilterData" localSheetId="1" hidden="1">MP_Jan.20!$B$6:$D$12</definedName>
    <definedName name="Z_287A9710_F224_4DCC_92E7_79CAACB58A82_.wvu.FilterData" localSheetId="7" hidden="1">MP_Jul.20!$B$6:$D$12</definedName>
    <definedName name="Z_287A9710_F224_4DCC_92E7_79CAACB58A82_.wvu.FilterData" localSheetId="6" hidden="1">MP_Jun.20!$B$6:$D$12</definedName>
    <definedName name="Z_287A9710_F224_4DCC_92E7_79CAACB58A82_.wvu.FilterData" localSheetId="5" hidden="1">MP_Mai.20!$B$6:$D$12</definedName>
    <definedName name="Z_287A9710_F224_4DCC_92E7_79CAACB58A82_.wvu.FilterData" localSheetId="3" hidden="1">MP_Mar.20!$B$6:$D$12</definedName>
    <definedName name="Z_287A9710_F224_4DCC_92E7_79CAACB58A82_.wvu.FilterData" localSheetId="11" hidden="1">MP_Nov.20!$B$6:$D$12</definedName>
    <definedName name="Z_287A9710_F224_4DCC_92E7_79CAACB58A82_.wvu.FilterData" localSheetId="10" hidden="1">MP_Out.20!$B$6:$D$12</definedName>
    <definedName name="Z_287A9710_F224_4DCC_92E7_79CAACB58A82_.wvu.FilterData" localSheetId="9" hidden="1">MP_Set.20!$B$6:$D$12</definedName>
    <definedName name="Z_287A9710_F224_4DCC_92E7_79CAACB58A82_.wvu.FilterData" localSheetId="0" hidden="1">'USO ANUAL'!$C$8:$E$12</definedName>
    <definedName name="Z_287A9710_F224_4DCC_92E7_79CAACB58A82_.wvu.Rows" localSheetId="4" hidden="1">MP_Abr.20!#REF!</definedName>
    <definedName name="Z_287A9710_F224_4DCC_92E7_79CAACB58A82_.wvu.Rows" localSheetId="8" hidden="1">MP_Ago.20!#REF!</definedName>
    <definedName name="Z_287A9710_F224_4DCC_92E7_79CAACB58A82_.wvu.Rows" localSheetId="12" hidden="1">MP_Dez.20!#REF!</definedName>
    <definedName name="Z_287A9710_F224_4DCC_92E7_79CAACB58A82_.wvu.Rows" localSheetId="2" hidden="1">MP_Fev.20!#REF!</definedName>
    <definedName name="Z_287A9710_F224_4DCC_92E7_79CAACB58A82_.wvu.Rows" localSheetId="1" hidden="1">MP_Jan.20!#REF!</definedName>
    <definedName name="Z_287A9710_F224_4DCC_92E7_79CAACB58A82_.wvu.Rows" localSheetId="7" hidden="1">MP_Jul.20!#REF!</definedName>
    <definedName name="Z_287A9710_F224_4DCC_92E7_79CAACB58A82_.wvu.Rows" localSheetId="6" hidden="1">MP_Jun.20!#REF!</definedName>
    <definedName name="Z_287A9710_F224_4DCC_92E7_79CAACB58A82_.wvu.Rows" localSheetId="5" hidden="1">MP_Mai.20!#REF!</definedName>
    <definedName name="Z_287A9710_F224_4DCC_92E7_79CAACB58A82_.wvu.Rows" localSheetId="3" hidden="1">MP_Mar.20!#REF!</definedName>
    <definedName name="Z_287A9710_F224_4DCC_92E7_79CAACB58A82_.wvu.Rows" localSheetId="11" hidden="1">MP_Nov.20!#REF!</definedName>
    <definedName name="Z_287A9710_F224_4DCC_92E7_79CAACB58A82_.wvu.Rows" localSheetId="10" hidden="1">MP_Out.20!#REF!</definedName>
    <definedName name="Z_287A9710_F224_4DCC_92E7_79CAACB58A82_.wvu.Rows" localSheetId="9" hidden="1">MP_Set.20!#REF!</definedName>
    <definedName name="Z_2A27C109_1435_4FFF_9BBF_DFF4B75A8DCC_.wvu.FilterData" localSheetId="4" hidden="1">MP_Abr.20!$B$6:$D$12</definedName>
    <definedName name="Z_2A27C109_1435_4FFF_9BBF_DFF4B75A8DCC_.wvu.FilterData" localSheetId="8" hidden="1">MP_Ago.20!$B$6:$D$12</definedName>
    <definedName name="Z_2A27C109_1435_4FFF_9BBF_DFF4B75A8DCC_.wvu.FilterData" localSheetId="12" hidden="1">MP_Dez.20!$B$6:$D$12</definedName>
    <definedName name="Z_2A27C109_1435_4FFF_9BBF_DFF4B75A8DCC_.wvu.FilterData" localSheetId="2" hidden="1">MP_Fev.20!$B$6:$D$12</definedName>
    <definedName name="Z_2A27C109_1435_4FFF_9BBF_DFF4B75A8DCC_.wvu.FilterData" localSheetId="1" hidden="1">MP_Jan.20!$B$6:$D$12</definedName>
    <definedName name="Z_2A27C109_1435_4FFF_9BBF_DFF4B75A8DCC_.wvu.FilterData" localSheetId="7" hidden="1">MP_Jul.20!$B$6:$D$12</definedName>
    <definedName name="Z_2A27C109_1435_4FFF_9BBF_DFF4B75A8DCC_.wvu.FilterData" localSheetId="6" hidden="1">MP_Jun.20!$B$6:$D$12</definedName>
    <definedName name="Z_2A27C109_1435_4FFF_9BBF_DFF4B75A8DCC_.wvu.FilterData" localSheetId="5" hidden="1">MP_Mai.20!$B$6:$D$12</definedName>
    <definedName name="Z_2A27C109_1435_4FFF_9BBF_DFF4B75A8DCC_.wvu.FilterData" localSheetId="3" hidden="1">MP_Mar.20!$B$6:$D$12</definedName>
    <definedName name="Z_2A27C109_1435_4FFF_9BBF_DFF4B75A8DCC_.wvu.FilterData" localSheetId="11" hidden="1">MP_Nov.20!$B$6:$D$12</definedName>
    <definedName name="Z_2A27C109_1435_4FFF_9BBF_DFF4B75A8DCC_.wvu.FilterData" localSheetId="10" hidden="1">MP_Out.20!$B$6:$D$12</definedName>
    <definedName name="Z_2A27C109_1435_4FFF_9BBF_DFF4B75A8DCC_.wvu.FilterData" localSheetId="9" hidden="1">MP_Set.20!$B$6:$D$12</definedName>
    <definedName name="Z_3B3C6DCB_8771_4E23_8DB2_A4E46134151C_.wvu.FilterData" localSheetId="0" hidden="1">'USO ANUAL'!$C$8:$E$12</definedName>
    <definedName name="Z_3C723FE2_27F9_4A45_960B_AAC08BC8EA7E_.wvu.FilterData" localSheetId="4" hidden="1">MP_Abr.20!$B$6:$D$12</definedName>
    <definedName name="Z_3C723FE2_27F9_4A45_960B_AAC08BC8EA7E_.wvu.FilterData" localSheetId="8" hidden="1">MP_Ago.20!$B$6:$D$12</definedName>
    <definedName name="Z_3C723FE2_27F9_4A45_960B_AAC08BC8EA7E_.wvu.FilterData" localSheetId="12" hidden="1">MP_Dez.20!$B$6:$D$12</definedName>
    <definedName name="Z_3C723FE2_27F9_4A45_960B_AAC08BC8EA7E_.wvu.FilterData" localSheetId="2" hidden="1">MP_Fev.20!$B$6:$D$12</definedName>
    <definedName name="Z_3C723FE2_27F9_4A45_960B_AAC08BC8EA7E_.wvu.FilterData" localSheetId="1" hidden="1">MP_Jan.20!$B$6:$D$12</definedName>
    <definedName name="Z_3C723FE2_27F9_4A45_960B_AAC08BC8EA7E_.wvu.FilterData" localSheetId="7" hidden="1">MP_Jul.20!$B$6:$D$12</definedName>
    <definedName name="Z_3C723FE2_27F9_4A45_960B_AAC08BC8EA7E_.wvu.FilterData" localSheetId="6" hidden="1">MP_Jun.20!$B$6:$D$12</definedName>
    <definedName name="Z_3C723FE2_27F9_4A45_960B_AAC08BC8EA7E_.wvu.FilterData" localSheetId="5" hidden="1">MP_Mai.20!$B$6:$D$12</definedName>
    <definedName name="Z_3C723FE2_27F9_4A45_960B_AAC08BC8EA7E_.wvu.FilterData" localSheetId="3" hidden="1">MP_Mar.20!$B$6:$D$12</definedName>
    <definedName name="Z_3C723FE2_27F9_4A45_960B_AAC08BC8EA7E_.wvu.FilterData" localSheetId="11" hidden="1">MP_Nov.20!$B$6:$D$12</definedName>
    <definedName name="Z_3C723FE2_27F9_4A45_960B_AAC08BC8EA7E_.wvu.FilterData" localSheetId="10" hidden="1">MP_Out.20!$B$6:$D$12</definedName>
    <definedName name="Z_3C723FE2_27F9_4A45_960B_AAC08BC8EA7E_.wvu.FilterData" localSheetId="9" hidden="1">MP_Set.20!$B$6:$D$12</definedName>
    <definedName name="Z_3C723FE2_27F9_4A45_960B_AAC08BC8EA7E_.wvu.FilterData" localSheetId="0" hidden="1">'USO ANUAL'!$C$8:$E$12</definedName>
    <definedName name="Z_3D2989F4_92E8_478F_9E1D_CB2A41F86DEF_.wvu.FilterData" localSheetId="4" hidden="1">MP_Abr.20!$B$6:$D$12</definedName>
    <definedName name="Z_3D2989F4_92E8_478F_9E1D_CB2A41F86DEF_.wvu.FilterData" localSheetId="8" hidden="1">MP_Ago.20!$B$6:$D$12</definedName>
    <definedName name="Z_3D2989F4_92E8_478F_9E1D_CB2A41F86DEF_.wvu.FilterData" localSheetId="12" hidden="1">MP_Dez.20!$B$6:$D$12</definedName>
    <definedName name="Z_3D2989F4_92E8_478F_9E1D_CB2A41F86DEF_.wvu.FilterData" localSheetId="2" hidden="1">MP_Fev.20!$B$6:$D$12</definedName>
    <definedName name="Z_3D2989F4_92E8_478F_9E1D_CB2A41F86DEF_.wvu.FilterData" localSheetId="1" hidden="1">MP_Jan.20!$B$6:$D$12</definedName>
    <definedName name="Z_3D2989F4_92E8_478F_9E1D_CB2A41F86DEF_.wvu.FilterData" localSheetId="7" hidden="1">MP_Jul.20!$B$6:$D$12</definedName>
    <definedName name="Z_3D2989F4_92E8_478F_9E1D_CB2A41F86DEF_.wvu.FilterData" localSheetId="6" hidden="1">MP_Jun.20!$B$6:$D$12</definedName>
    <definedName name="Z_3D2989F4_92E8_478F_9E1D_CB2A41F86DEF_.wvu.FilterData" localSheetId="5" hidden="1">MP_Mai.20!$B$6:$D$12</definedName>
    <definedName name="Z_3D2989F4_92E8_478F_9E1D_CB2A41F86DEF_.wvu.FilterData" localSheetId="3" hidden="1">MP_Mar.20!$B$6:$D$12</definedName>
    <definedName name="Z_3D2989F4_92E8_478F_9E1D_CB2A41F86DEF_.wvu.FilterData" localSheetId="11" hidden="1">MP_Nov.20!$B$6:$D$12</definedName>
    <definedName name="Z_3D2989F4_92E8_478F_9E1D_CB2A41F86DEF_.wvu.FilterData" localSheetId="10" hidden="1">MP_Out.20!$B$6:$D$12</definedName>
    <definedName name="Z_3D2989F4_92E8_478F_9E1D_CB2A41F86DEF_.wvu.FilterData" localSheetId="9" hidden="1">MP_Set.20!$B$6:$D$12</definedName>
    <definedName name="Z_3D2989F4_92E8_478F_9E1D_CB2A41F86DEF_.wvu.FilterData" localSheetId="0" hidden="1">'USO ANUAL'!$C$8:$E$12</definedName>
    <definedName name="Z_430E913A_DC14_400C_835B_588CFDF43B84_.wvu.FilterData" localSheetId="4" hidden="1">MP_Abr.20!$B$6:$D$12</definedName>
    <definedName name="Z_430E913A_DC14_400C_835B_588CFDF43B84_.wvu.FilterData" localSheetId="8" hidden="1">MP_Ago.20!$B$6:$D$12</definedName>
    <definedName name="Z_430E913A_DC14_400C_835B_588CFDF43B84_.wvu.FilterData" localSheetId="12" hidden="1">MP_Dez.20!$B$6:$D$12</definedName>
    <definedName name="Z_430E913A_DC14_400C_835B_588CFDF43B84_.wvu.FilterData" localSheetId="2" hidden="1">MP_Fev.20!$B$6:$D$12</definedName>
    <definedName name="Z_430E913A_DC14_400C_835B_588CFDF43B84_.wvu.FilterData" localSheetId="1" hidden="1">MP_Jan.20!$B$6:$D$12</definedName>
    <definedName name="Z_430E913A_DC14_400C_835B_588CFDF43B84_.wvu.FilterData" localSheetId="7" hidden="1">MP_Jul.20!$B$6:$D$12</definedName>
    <definedName name="Z_430E913A_DC14_400C_835B_588CFDF43B84_.wvu.FilterData" localSheetId="6" hidden="1">MP_Jun.20!$B$6:$D$12</definedName>
    <definedName name="Z_430E913A_DC14_400C_835B_588CFDF43B84_.wvu.FilterData" localSheetId="5" hidden="1">MP_Mai.20!$B$6:$D$12</definedName>
    <definedName name="Z_430E913A_DC14_400C_835B_588CFDF43B84_.wvu.FilterData" localSheetId="3" hidden="1">MP_Mar.20!$B$6:$D$12</definedName>
    <definedName name="Z_430E913A_DC14_400C_835B_588CFDF43B84_.wvu.FilterData" localSheetId="11" hidden="1">MP_Nov.20!$B$6:$D$12</definedName>
    <definedName name="Z_430E913A_DC14_400C_835B_588CFDF43B84_.wvu.FilterData" localSheetId="10" hidden="1">MP_Out.20!$B$6:$D$12</definedName>
    <definedName name="Z_430E913A_DC14_400C_835B_588CFDF43B84_.wvu.FilterData" localSheetId="9" hidden="1">MP_Set.20!$B$6:$D$12</definedName>
    <definedName name="Z_430E913A_DC14_400C_835B_588CFDF43B84_.wvu.FilterData" localSheetId="0" hidden="1">'USO ANUAL'!$C$8:$E$12</definedName>
    <definedName name="Z_430E913A_DC14_400C_835B_588CFDF43B84_.wvu.Rows" localSheetId="4" hidden="1">MP_Abr.20!#REF!</definedName>
    <definedName name="Z_430E913A_DC14_400C_835B_588CFDF43B84_.wvu.Rows" localSheetId="8" hidden="1">MP_Ago.20!#REF!</definedName>
    <definedName name="Z_430E913A_DC14_400C_835B_588CFDF43B84_.wvu.Rows" localSheetId="12" hidden="1">MP_Dez.20!#REF!</definedName>
    <definedName name="Z_430E913A_DC14_400C_835B_588CFDF43B84_.wvu.Rows" localSheetId="2" hidden="1">MP_Fev.20!#REF!</definedName>
    <definedName name="Z_430E913A_DC14_400C_835B_588CFDF43B84_.wvu.Rows" localSheetId="1" hidden="1">MP_Jan.20!#REF!</definedName>
    <definedName name="Z_430E913A_DC14_400C_835B_588CFDF43B84_.wvu.Rows" localSheetId="7" hidden="1">MP_Jul.20!#REF!</definedName>
    <definedName name="Z_430E913A_DC14_400C_835B_588CFDF43B84_.wvu.Rows" localSheetId="6" hidden="1">MP_Jun.20!#REF!</definedName>
    <definedName name="Z_430E913A_DC14_400C_835B_588CFDF43B84_.wvu.Rows" localSheetId="5" hidden="1">MP_Mai.20!#REF!</definedName>
    <definedName name="Z_430E913A_DC14_400C_835B_588CFDF43B84_.wvu.Rows" localSheetId="3" hidden="1">MP_Mar.20!#REF!</definedName>
    <definedName name="Z_430E913A_DC14_400C_835B_588CFDF43B84_.wvu.Rows" localSheetId="11" hidden="1">MP_Nov.20!#REF!</definedName>
    <definedName name="Z_430E913A_DC14_400C_835B_588CFDF43B84_.wvu.Rows" localSheetId="10" hidden="1">MP_Out.20!#REF!</definedName>
    <definedName name="Z_430E913A_DC14_400C_835B_588CFDF43B84_.wvu.Rows" localSheetId="9" hidden="1">MP_Set.20!#REF!</definedName>
    <definedName name="Z_4BACAB9D_CA8C_42C5_974B_6E3240B85042_.wvu.FilterData" localSheetId="4" hidden="1">MP_Abr.20!$B$6:$D$12</definedName>
    <definedName name="Z_4BACAB9D_CA8C_42C5_974B_6E3240B85042_.wvu.FilterData" localSheetId="8" hidden="1">MP_Ago.20!$B$6:$D$12</definedName>
    <definedName name="Z_4BACAB9D_CA8C_42C5_974B_6E3240B85042_.wvu.FilterData" localSheetId="12" hidden="1">MP_Dez.20!$B$6:$D$12</definedName>
    <definedName name="Z_4BACAB9D_CA8C_42C5_974B_6E3240B85042_.wvu.FilterData" localSheetId="2" hidden="1">MP_Fev.20!$B$6:$D$12</definedName>
    <definedName name="Z_4BACAB9D_CA8C_42C5_974B_6E3240B85042_.wvu.FilterData" localSheetId="1" hidden="1">MP_Jan.20!$B$6:$D$12</definedName>
    <definedName name="Z_4BACAB9D_CA8C_42C5_974B_6E3240B85042_.wvu.FilterData" localSheetId="7" hidden="1">MP_Jul.20!$B$6:$D$12</definedName>
    <definedName name="Z_4BACAB9D_CA8C_42C5_974B_6E3240B85042_.wvu.FilterData" localSheetId="6" hidden="1">MP_Jun.20!$B$6:$D$12</definedName>
    <definedName name="Z_4BACAB9D_CA8C_42C5_974B_6E3240B85042_.wvu.FilterData" localSheetId="5" hidden="1">MP_Mai.20!$B$6:$D$12</definedName>
    <definedName name="Z_4BACAB9D_CA8C_42C5_974B_6E3240B85042_.wvu.FilterData" localSheetId="3" hidden="1">MP_Mar.20!$B$6:$D$12</definedName>
    <definedName name="Z_4BACAB9D_CA8C_42C5_974B_6E3240B85042_.wvu.FilterData" localSheetId="11" hidden="1">MP_Nov.20!$B$6:$D$12</definedName>
    <definedName name="Z_4BACAB9D_CA8C_42C5_974B_6E3240B85042_.wvu.FilterData" localSheetId="10" hidden="1">MP_Out.20!$B$6:$D$12</definedName>
    <definedName name="Z_4BACAB9D_CA8C_42C5_974B_6E3240B85042_.wvu.FilterData" localSheetId="9" hidden="1">MP_Set.20!$B$6:$D$12</definedName>
    <definedName name="Z_4BACAB9D_CA8C_42C5_974B_6E3240B85042_.wvu.FilterData" localSheetId="0" hidden="1">'USO ANUAL'!$C$8:$E$12</definedName>
    <definedName name="Z_4BACAB9D_CA8C_42C5_974B_6E3240B85042_.wvu.Rows" localSheetId="4" hidden="1">MP_Abr.20!#REF!</definedName>
    <definedName name="Z_4BACAB9D_CA8C_42C5_974B_6E3240B85042_.wvu.Rows" localSheetId="8" hidden="1">MP_Ago.20!#REF!</definedName>
    <definedName name="Z_4BACAB9D_CA8C_42C5_974B_6E3240B85042_.wvu.Rows" localSheetId="12" hidden="1">MP_Dez.20!#REF!</definedName>
    <definedName name="Z_4BACAB9D_CA8C_42C5_974B_6E3240B85042_.wvu.Rows" localSheetId="2" hidden="1">MP_Fev.20!#REF!</definedName>
    <definedName name="Z_4BACAB9D_CA8C_42C5_974B_6E3240B85042_.wvu.Rows" localSheetId="1" hidden="1">MP_Jan.20!#REF!</definedName>
    <definedName name="Z_4BACAB9D_CA8C_42C5_974B_6E3240B85042_.wvu.Rows" localSheetId="7" hidden="1">MP_Jul.20!#REF!</definedName>
    <definedName name="Z_4BACAB9D_CA8C_42C5_974B_6E3240B85042_.wvu.Rows" localSheetId="6" hidden="1">MP_Jun.20!#REF!</definedName>
    <definedName name="Z_4BACAB9D_CA8C_42C5_974B_6E3240B85042_.wvu.Rows" localSheetId="5" hidden="1">MP_Mai.20!#REF!</definedName>
    <definedName name="Z_4BACAB9D_CA8C_42C5_974B_6E3240B85042_.wvu.Rows" localSheetId="3" hidden="1">MP_Mar.20!#REF!</definedName>
    <definedName name="Z_4BACAB9D_CA8C_42C5_974B_6E3240B85042_.wvu.Rows" localSheetId="11" hidden="1">MP_Nov.20!#REF!</definedName>
    <definedName name="Z_4BACAB9D_CA8C_42C5_974B_6E3240B85042_.wvu.Rows" localSheetId="10" hidden="1">MP_Out.20!#REF!</definedName>
    <definedName name="Z_4BACAB9D_CA8C_42C5_974B_6E3240B85042_.wvu.Rows" localSheetId="9" hidden="1">MP_Set.20!#REF!</definedName>
    <definedName name="Z_519CB837_B284_48AB_B099_ABFB88F2123E_.wvu.FilterData" localSheetId="4" hidden="1">MP_Abr.20!$B$6:$D$12</definedName>
    <definedName name="Z_519CB837_B284_48AB_B099_ABFB88F2123E_.wvu.FilterData" localSheetId="8" hidden="1">MP_Ago.20!$B$6:$D$12</definedName>
    <definedName name="Z_519CB837_B284_48AB_B099_ABFB88F2123E_.wvu.FilterData" localSheetId="12" hidden="1">MP_Dez.20!$B$6:$D$12</definedName>
    <definedName name="Z_519CB837_B284_48AB_B099_ABFB88F2123E_.wvu.FilterData" localSheetId="2" hidden="1">MP_Fev.20!$B$6:$D$12</definedName>
    <definedName name="Z_519CB837_B284_48AB_B099_ABFB88F2123E_.wvu.FilterData" localSheetId="1" hidden="1">MP_Jan.20!$B$6:$D$12</definedName>
    <definedName name="Z_519CB837_B284_48AB_B099_ABFB88F2123E_.wvu.FilterData" localSheetId="7" hidden="1">MP_Jul.20!$B$6:$D$12</definedName>
    <definedName name="Z_519CB837_B284_48AB_B099_ABFB88F2123E_.wvu.FilterData" localSheetId="6" hidden="1">MP_Jun.20!$B$6:$D$12</definedName>
    <definedName name="Z_519CB837_B284_48AB_B099_ABFB88F2123E_.wvu.FilterData" localSheetId="5" hidden="1">MP_Mai.20!$B$6:$D$12</definedName>
    <definedName name="Z_519CB837_B284_48AB_B099_ABFB88F2123E_.wvu.FilterData" localSheetId="3" hidden="1">MP_Mar.20!$B$6:$D$12</definedName>
    <definedName name="Z_519CB837_B284_48AB_B099_ABFB88F2123E_.wvu.FilterData" localSheetId="11" hidden="1">MP_Nov.20!$B$6:$D$12</definedName>
    <definedName name="Z_519CB837_B284_48AB_B099_ABFB88F2123E_.wvu.FilterData" localSheetId="10" hidden="1">MP_Out.20!$B$6:$D$12</definedName>
    <definedName name="Z_519CB837_B284_48AB_B099_ABFB88F2123E_.wvu.FilterData" localSheetId="9" hidden="1">MP_Set.20!$B$6:$D$12</definedName>
    <definedName name="Z_519CB837_B284_48AB_B099_ABFB88F2123E_.wvu.FilterData" localSheetId="0" hidden="1">'USO ANUAL'!$C$8:$E$12</definedName>
    <definedName name="Z_519CB837_B284_48AB_B099_ABFB88F2123E_.wvu.Rows" localSheetId="4" hidden="1">MP_Abr.20!#REF!</definedName>
    <definedName name="Z_519CB837_B284_48AB_B099_ABFB88F2123E_.wvu.Rows" localSheetId="8" hidden="1">MP_Ago.20!#REF!</definedName>
    <definedName name="Z_519CB837_B284_48AB_B099_ABFB88F2123E_.wvu.Rows" localSheetId="12" hidden="1">MP_Dez.20!#REF!</definedName>
    <definedName name="Z_519CB837_B284_48AB_B099_ABFB88F2123E_.wvu.Rows" localSheetId="2" hidden="1">MP_Fev.20!#REF!</definedName>
    <definedName name="Z_519CB837_B284_48AB_B099_ABFB88F2123E_.wvu.Rows" localSheetId="1" hidden="1">MP_Jan.20!#REF!</definedName>
    <definedName name="Z_519CB837_B284_48AB_B099_ABFB88F2123E_.wvu.Rows" localSheetId="7" hidden="1">MP_Jul.20!#REF!</definedName>
    <definedName name="Z_519CB837_B284_48AB_B099_ABFB88F2123E_.wvu.Rows" localSheetId="6" hidden="1">MP_Jun.20!#REF!</definedName>
    <definedName name="Z_519CB837_B284_48AB_B099_ABFB88F2123E_.wvu.Rows" localSheetId="5" hidden="1">MP_Mai.20!#REF!</definedName>
    <definedName name="Z_519CB837_B284_48AB_B099_ABFB88F2123E_.wvu.Rows" localSheetId="3" hidden="1">MP_Mar.20!#REF!</definedName>
    <definedName name="Z_519CB837_B284_48AB_B099_ABFB88F2123E_.wvu.Rows" localSheetId="11" hidden="1">MP_Nov.20!#REF!</definedName>
    <definedName name="Z_519CB837_B284_48AB_B099_ABFB88F2123E_.wvu.Rows" localSheetId="10" hidden="1">MP_Out.20!#REF!</definedName>
    <definedName name="Z_519CB837_B284_48AB_B099_ABFB88F2123E_.wvu.Rows" localSheetId="9" hidden="1">MP_Set.20!#REF!</definedName>
    <definedName name="Z_539C45A6_9530_4598_9221_4621051E5422_.wvu.FilterData" localSheetId="4" hidden="1">MP_Abr.20!$B$6:$D$12</definedName>
    <definedName name="Z_539C45A6_9530_4598_9221_4621051E5422_.wvu.FilterData" localSheetId="8" hidden="1">MP_Ago.20!$B$6:$D$12</definedName>
    <definedName name="Z_539C45A6_9530_4598_9221_4621051E5422_.wvu.FilterData" localSheetId="12" hidden="1">MP_Dez.20!$B$6:$D$12</definedName>
    <definedName name="Z_539C45A6_9530_4598_9221_4621051E5422_.wvu.FilterData" localSheetId="2" hidden="1">MP_Fev.20!$B$6:$D$12</definedName>
    <definedName name="Z_539C45A6_9530_4598_9221_4621051E5422_.wvu.FilterData" localSheetId="1" hidden="1">MP_Jan.20!$B$6:$D$12</definedName>
    <definedName name="Z_539C45A6_9530_4598_9221_4621051E5422_.wvu.FilterData" localSheetId="7" hidden="1">MP_Jul.20!$B$6:$D$12</definedName>
    <definedName name="Z_539C45A6_9530_4598_9221_4621051E5422_.wvu.FilterData" localSheetId="6" hidden="1">MP_Jun.20!$B$6:$D$12</definedName>
    <definedName name="Z_539C45A6_9530_4598_9221_4621051E5422_.wvu.FilterData" localSheetId="5" hidden="1">MP_Mai.20!$B$6:$D$12</definedName>
    <definedName name="Z_539C45A6_9530_4598_9221_4621051E5422_.wvu.FilterData" localSheetId="3" hidden="1">MP_Mar.20!$B$6:$D$12</definedName>
    <definedName name="Z_539C45A6_9530_4598_9221_4621051E5422_.wvu.FilterData" localSheetId="11" hidden="1">MP_Nov.20!$B$6:$D$12</definedName>
    <definedName name="Z_539C45A6_9530_4598_9221_4621051E5422_.wvu.FilterData" localSheetId="10" hidden="1">MP_Out.20!$B$6:$D$12</definedName>
    <definedName name="Z_539C45A6_9530_4598_9221_4621051E5422_.wvu.FilterData" localSheetId="9" hidden="1">MP_Set.20!$B$6:$D$12</definedName>
    <definedName name="Z_539C45A6_9530_4598_9221_4621051E5422_.wvu.FilterData" localSheetId="0" hidden="1">'USO ANUAL'!$C$8:$E$12</definedName>
    <definedName name="Z_561C9A77_25BF_4923_A9B1_C57226726C29_.wvu.FilterData" localSheetId="4" hidden="1">MP_Abr.20!$B$6:$D$12</definedName>
    <definedName name="Z_561C9A77_25BF_4923_A9B1_C57226726C29_.wvu.FilterData" localSheetId="8" hidden="1">MP_Ago.20!$B$6:$D$12</definedName>
    <definedName name="Z_561C9A77_25BF_4923_A9B1_C57226726C29_.wvu.FilterData" localSheetId="12" hidden="1">MP_Dez.20!$B$6:$D$12</definedName>
    <definedName name="Z_561C9A77_25BF_4923_A9B1_C57226726C29_.wvu.FilterData" localSheetId="2" hidden="1">MP_Fev.20!$B$6:$D$12</definedName>
    <definedName name="Z_561C9A77_25BF_4923_A9B1_C57226726C29_.wvu.FilterData" localSheetId="1" hidden="1">MP_Jan.20!$B$6:$D$12</definedName>
    <definedName name="Z_561C9A77_25BF_4923_A9B1_C57226726C29_.wvu.FilterData" localSheetId="7" hidden="1">MP_Jul.20!$B$6:$D$12</definedName>
    <definedName name="Z_561C9A77_25BF_4923_A9B1_C57226726C29_.wvu.FilterData" localSheetId="6" hidden="1">MP_Jun.20!$B$6:$D$12</definedName>
    <definedName name="Z_561C9A77_25BF_4923_A9B1_C57226726C29_.wvu.FilterData" localSheetId="5" hidden="1">MP_Mai.20!$B$6:$D$12</definedName>
    <definedName name="Z_561C9A77_25BF_4923_A9B1_C57226726C29_.wvu.FilterData" localSheetId="3" hidden="1">MP_Mar.20!$B$6:$D$12</definedName>
    <definedName name="Z_561C9A77_25BF_4923_A9B1_C57226726C29_.wvu.FilterData" localSheetId="11" hidden="1">MP_Nov.20!$B$6:$D$12</definedName>
    <definedName name="Z_561C9A77_25BF_4923_A9B1_C57226726C29_.wvu.FilterData" localSheetId="10" hidden="1">MP_Out.20!$B$6:$D$12</definedName>
    <definedName name="Z_561C9A77_25BF_4923_A9B1_C57226726C29_.wvu.FilterData" localSheetId="9" hidden="1">MP_Set.20!$B$6:$D$12</definedName>
    <definedName name="Z_601A873E_71DB_4B01_8F58_15081C5F1239_.wvu.FilterData" localSheetId="0" hidden="1">'USO ANUAL'!$C$8:$E$12</definedName>
    <definedName name="Z_660C4B08_3535_480E_8354_4040D10FDF58_.wvu.FilterData" localSheetId="4" hidden="1">MP_Abr.20!$B$6:$D$12</definedName>
    <definedName name="Z_660C4B08_3535_480E_8354_4040D10FDF58_.wvu.FilterData" localSheetId="8" hidden="1">MP_Ago.20!$B$6:$D$12</definedName>
    <definedName name="Z_660C4B08_3535_480E_8354_4040D10FDF58_.wvu.FilterData" localSheetId="12" hidden="1">MP_Dez.20!$B$6:$D$12</definedName>
    <definedName name="Z_660C4B08_3535_480E_8354_4040D10FDF58_.wvu.FilterData" localSheetId="2" hidden="1">MP_Fev.20!$B$6:$D$12</definedName>
    <definedName name="Z_660C4B08_3535_480E_8354_4040D10FDF58_.wvu.FilterData" localSheetId="1" hidden="1">MP_Jan.20!$B$6:$D$12</definedName>
    <definedName name="Z_660C4B08_3535_480E_8354_4040D10FDF58_.wvu.FilterData" localSheetId="7" hidden="1">MP_Jul.20!$B$6:$D$12</definedName>
    <definedName name="Z_660C4B08_3535_480E_8354_4040D10FDF58_.wvu.FilterData" localSheetId="6" hidden="1">MP_Jun.20!$B$6:$D$12</definedName>
    <definedName name="Z_660C4B08_3535_480E_8354_4040D10FDF58_.wvu.FilterData" localSheetId="5" hidden="1">MP_Mai.20!$B$6:$D$12</definedName>
    <definedName name="Z_660C4B08_3535_480E_8354_4040D10FDF58_.wvu.FilterData" localSheetId="3" hidden="1">MP_Mar.20!$B$6:$D$12</definedName>
    <definedName name="Z_660C4B08_3535_480E_8354_4040D10FDF58_.wvu.FilterData" localSheetId="11" hidden="1">MP_Nov.20!$B$6:$D$12</definedName>
    <definedName name="Z_660C4B08_3535_480E_8354_4040D10FDF58_.wvu.FilterData" localSheetId="10" hidden="1">MP_Out.20!$B$6:$D$12</definedName>
    <definedName name="Z_660C4B08_3535_480E_8354_4040D10FDF58_.wvu.FilterData" localSheetId="9" hidden="1">MP_Set.20!$B$6:$D$12</definedName>
    <definedName name="Z_660C4B08_3535_480E_8354_4040D10FDF58_.wvu.FilterData" localSheetId="0" hidden="1">'USO ANUAL'!$C$8:$E$12</definedName>
    <definedName name="Z_660C4B08_3535_480E_8354_4040D10FDF58_.wvu.Rows" localSheetId="4" hidden="1">MP_Abr.20!#REF!</definedName>
    <definedName name="Z_660C4B08_3535_480E_8354_4040D10FDF58_.wvu.Rows" localSheetId="8" hidden="1">MP_Ago.20!#REF!</definedName>
    <definedName name="Z_660C4B08_3535_480E_8354_4040D10FDF58_.wvu.Rows" localSheetId="12" hidden="1">MP_Dez.20!#REF!</definedName>
    <definedName name="Z_660C4B08_3535_480E_8354_4040D10FDF58_.wvu.Rows" localSheetId="2" hidden="1">MP_Fev.20!#REF!</definedName>
    <definedName name="Z_660C4B08_3535_480E_8354_4040D10FDF58_.wvu.Rows" localSheetId="1" hidden="1">MP_Jan.20!#REF!</definedName>
    <definedName name="Z_660C4B08_3535_480E_8354_4040D10FDF58_.wvu.Rows" localSheetId="7" hidden="1">MP_Jul.20!#REF!</definedName>
    <definedName name="Z_660C4B08_3535_480E_8354_4040D10FDF58_.wvu.Rows" localSheetId="6" hidden="1">MP_Jun.20!#REF!</definedName>
    <definedName name="Z_660C4B08_3535_480E_8354_4040D10FDF58_.wvu.Rows" localSheetId="5" hidden="1">MP_Mai.20!#REF!</definedName>
    <definedName name="Z_660C4B08_3535_480E_8354_4040D10FDF58_.wvu.Rows" localSheetId="3" hidden="1">MP_Mar.20!#REF!</definedName>
    <definedName name="Z_660C4B08_3535_480E_8354_4040D10FDF58_.wvu.Rows" localSheetId="11" hidden="1">MP_Nov.20!#REF!</definedName>
    <definedName name="Z_660C4B08_3535_480E_8354_4040D10FDF58_.wvu.Rows" localSheetId="10" hidden="1">MP_Out.20!#REF!</definedName>
    <definedName name="Z_660C4B08_3535_480E_8354_4040D10FDF58_.wvu.Rows" localSheetId="9" hidden="1">MP_Set.20!#REF!</definedName>
    <definedName name="Z_6A9C14BD_D812_4690_9856_B0A58DFCA856_.wvu.FilterData" localSheetId="4" hidden="1">MP_Abr.20!$B$6:$D$12</definedName>
    <definedName name="Z_6A9C14BD_D812_4690_9856_B0A58DFCA856_.wvu.FilterData" localSheetId="8" hidden="1">MP_Ago.20!$B$6:$D$12</definedName>
    <definedName name="Z_6A9C14BD_D812_4690_9856_B0A58DFCA856_.wvu.FilterData" localSheetId="12" hidden="1">MP_Dez.20!$B$6:$D$12</definedName>
    <definedName name="Z_6A9C14BD_D812_4690_9856_B0A58DFCA856_.wvu.FilterData" localSheetId="2" hidden="1">MP_Fev.20!$B$6:$D$12</definedName>
    <definedName name="Z_6A9C14BD_D812_4690_9856_B0A58DFCA856_.wvu.FilterData" localSheetId="1" hidden="1">MP_Jan.20!$B$6:$D$12</definedName>
    <definedName name="Z_6A9C14BD_D812_4690_9856_B0A58DFCA856_.wvu.FilterData" localSheetId="7" hidden="1">MP_Jul.20!$B$6:$D$12</definedName>
    <definedName name="Z_6A9C14BD_D812_4690_9856_B0A58DFCA856_.wvu.FilterData" localSheetId="6" hidden="1">MP_Jun.20!$B$6:$D$12</definedName>
    <definedName name="Z_6A9C14BD_D812_4690_9856_B0A58DFCA856_.wvu.FilterData" localSheetId="5" hidden="1">MP_Mai.20!$B$6:$D$12</definedName>
    <definedName name="Z_6A9C14BD_D812_4690_9856_B0A58DFCA856_.wvu.FilterData" localSheetId="3" hidden="1">MP_Mar.20!$B$6:$D$12</definedName>
    <definedName name="Z_6A9C14BD_D812_4690_9856_B0A58DFCA856_.wvu.FilterData" localSheetId="11" hidden="1">MP_Nov.20!$B$6:$D$12</definedName>
    <definedName name="Z_6A9C14BD_D812_4690_9856_B0A58DFCA856_.wvu.FilterData" localSheetId="10" hidden="1">MP_Out.20!$B$6:$D$12</definedName>
    <definedName name="Z_6A9C14BD_D812_4690_9856_B0A58DFCA856_.wvu.FilterData" localSheetId="9" hidden="1">MP_Set.20!$B$6:$D$12</definedName>
    <definedName name="Z_6A9C14BD_D812_4690_9856_B0A58DFCA856_.wvu.FilterData" localSheetId="0" hidden="1">'USO ANUAL'!$C$8:$E$12</definedName>
    <definedName name="Z_6A9C14BD_D812_4690_9856_B0A58DFCA856_.wvu.Rows" localSheetId="4" hidden="1">MP_Abr.20!#REF!</definedName>
    <definedName name="Z_6A9C14BD_D812_4690_9856_B0A58DFCA856_.wvu.Rows" localSheetId="8" hidden="1">MP_Ago.20!#REF!</definedName>
    <definedName name="Z_6A9C14BD_D812_4690_9856_B0A58DFCA856_.wvu.Rows" localSheetId="12" hidden="1">MP_Dez.20!#REF!</definedName>
    <definedName name="Z_6A9C14BD_D812_4690_9856_B0A58DFCA856_.wvu.Rows" localSheetId="2" hidden="1">MP_Fev.20!#REF!</definedName>
    <definedName name="Z_6A9C14BD_D812_4690_9856_B0A58DFCA856_.wvu.Rows" localSheetId="1" hidden="1">MP_Jan.20!#REF!</definedName>
    <definedName name="Z_6A9C14BD_D812_4690_9856_B0A58DFCA856_.wvu.Rows" localSheetId="7" hidden="1">MP_Jul.20!#REF!</definedName>
    <definedName name="Z_6A9C14BD_D812_4690_9856_B0A58DFCA856_.wvu.Rows" localSheetId="6" hidden="1">MP_Jun.20!#REF!</definedName>
    <definedName name="Z_6A9C14BD_D812_4690_9856_B0A58DFCA856_.wvu.Rows" localSheetId="5" hidden="1">MP_Mai.20!#REF!</definedName>
    <definedName name="Z_6A9C14BD_D812_4690_9856_B0A58DFCA856_.wvu.Rows" localSheetId="3" hidden="1">MP_Mar.20!#REF!</definedName>
    <definedName name="Z_6A9C14BD_D812_4690_9856_B0A58DFCA856_.wvu.Rows" localSheetId="11" hidden="1">MP_Nov.20!#REF!</definedName>
    <definedName name="Z_6A9C14BD_D812_4690_9856_B0A58DFCA856_.wvu.Rows" localSheetId="10" hidden="1">MP_Out.20!#REF!</definedName>
    <definedName name="Z_6A9C14BD_D812_4690_9856_B0A58DFCA856_.wvu.Rows" localSheetId="9" hidden="1">MP_Set.20!#REF!</definedName>
    <definedName name="Z_70F554AA_3084_451F_A981_EDDA33142170_.wvu.FilterData" localSheetId="4" hidden="1">MP_Abr.20!$B$6:$D$12</definedName>
    <definedName name="Z_70F554AA_3084_451F_A981_EDDA33142170_.wvu.FilterData" localSheetId="8" hidden="1">MP_Ago.20!$B$6:$D$12</definedName>
    <definedName name="Z_70F554AA_3084_451F_A981_EDDA33142170_.wvu.FilterData" localSheetId="12" hidden="1">MP_Dez.20!$B$6:$D$12</definedName>
    <definedName name="Z_70F554AA_3084_451F_A981_EDDA33142170_.wvu.FilterData" localSheetId="2" hidden="1">MP_Fev.20!$B$6:$D$12</definedName>
    <definedName name="Z_70F554AA_3084_451F_A981_EDDA33142170_.wvu.FilterData" localSheetId="1" hidden="1">MP_Jan.20!$B$6:$D$12</definedName>
    <definedName name="Z_70F554AA_3084_451F_A981_EDDA33142170_.wvu.FilterData" localSheetId="7" hidden="1">MP_Jul.20!$B$6:$D$12</definedName>
    <definedName name="Z_70F554AA_3084_451F_A981_EDDA33142170_.wvu.FilterData" localSheetId="6" hidden="1">MP_Jun.20!$B$6:$D$12</definedName>
    <definedName name="Z_70F554AA_3084_451F_A981_EDDA33142170_.wvu.FilterData" localSheetId="5" hidden="1">MP_Mai.20!$B$6:$D$12</definedName>
    <definedName name="Z_70F554AA_3084_451F_A981_EDDA33142170_.wvu.FilterData" localSheetId="3" hidden="1">MP_Mar.20!$B$6:$D$12</definedName>
    <definedName name="Z_70F554AA_3084_451F_A981_EDDA33142170_.wvu.FilterData" localSheetId="11" hidden="1">MP_Nov.20!$B$6:$D$12</definedName>
    <definedName name="Z_70F554AA_3084_451F_A981_EDDA33142170_.wvu.FilterData" localSheetId="10" hidden="1">MP_Out.20!$B$6:$D$12</definedName>
    <definedName name="Z_70F554AA_3084_451F_A981_EDDA33142170_.wvu.FilterData" localSheetId="9" hidden="1">MP_Set.20!$B$6:$D$12</definedName>
    <definedName name="Z_70F554AA_3084_451F_A981_EDDA33142170_.wvu.FilterData" localSheetId="0" hidden="1">'USO ANUAL'!$C$8:$E$12</definedName>
    <definedName name="Z_70F554AA_3084_451F_A981_EDDA33142170_.wvu.Rows" localSheetId="4" hidden="1">MP_Abr.20!#REF!</definedName>
    <definedName name="Z_70F554AA_3084_451F_A981_EDDA33142170_.wvu.Rows" localSheetId="8" hidden="1">MP_Ago.20!#REF!</definedName>
    <definedName name="Z_70F554AA_3084_451F_A981_EDDA33142170_.wvu.Rows" localSheetId="12" hidden="1">MP_Dez.20!#REF!</definedName>
    <definedName name="Z_70F554AA_3084_451F_A981_EDDA33142170_.wvu.Rows" localSheetId="2" hidden="1">MP_Fev.20!#REF!</definedName>
    <definedName name="Z_70F554AA_3084_451F_A981_EDDA33142170_.wvu.Rows" localSheetId="1" hidden="1">MP_Jan.20!#REF!</definedName>
    <definedName name="Z_70F554AA_3084_451F_A981_EDDA33142170_.wvu.Rows" localSheetId="7" hidden="1">MP_Jul.20!#REF!</definedName>
    <definedName name="Z_70F554AA_3084_451F_A981_EDDA33142170_.wvu.Rows" localSheetId="6" hidden="1">MP_Jun.20!#REF!</definedName>
    <definedName name="Z_70F554AA_3084_451F_A981_EDDA33142170_.wvu.Rows" localSheetId="5" hidden="1">MP_Mai.20!#REF!</definedName>
    <definedName name="Z_70F554AA_3084_451F_A981_EDDA33142170_.wvu.Rows" localSheetId="3" hidden="1">MP_Mar.20!#REF!</definedName>
    <definedName name="Z_70F554AA_3084_451F_A981_EDDA33142170_.wvu.Rows" localSheetId="11" hidden="1">MP_Nov.20!#REF!</definedName>
    <definedName name="Z_70F554AA_3084_451F_A981_EDDA33142170_.wvu.Rows" localSheetId="10" hidden="1">MP_Out.20!#REF!</definedName>
    <definedName name="Z_70F554AA_3084_451F_A981_EDDA33142170_.wvu.Rows" localSheetId="9" hidden="1">MP_Set.20!#REF!</definedName>
    <definedName name="Z_71BD7268_A1C2_49CD_ACBC_016D6C24647D_.wvu.FilterData" localSheetId="4" hidden="1">MP_Abr.20!$B$6:$D$12</definedName>
    <definedName name="Z_71BD7268_A1C2_49CD_ACBC_016D6C24647D_.wvu.FilterData" localSheetId="8" hidden="1">MP_Ago.20!$B$6:$D$12</definedName>
    <definedName name="Z_71BD7268_A1C2_49CD_ACBC_016D6C24647D_.wvu.FilterData" localSheetId="12" hidden="1">MP_Dez.20!$B$6:$D$12</definedName>
    <definedName name="Z_71BD7268_A1C2_49CD_ACBC_016D6C24647D_.wvu.FilterData" localSheetId="2" hidden="1">MP_Fev.20!$B$6:$D$12</definedName>
    <definedName name="Z_71BD7268_A1C2_49CD_ACBC_016D6C24647D_.wvu.FilterData" localSheetId="1" hidden="1">MP_Jan.20!$B$6:$D$12</definedName>
    <definedName name="Z_71BD7268_A1C2_49CD_ACBC_016D6C24647D_.wvu.FilterData" localSheetId="7" hidden="1">MP_Jul.20!$B$6:$D$12</definedName>
    <definedName name="Z_71BD7268_A1C2_49CD_ACBC_016D6C24647D_.wvu.FilterData" localSheetId="6" hidden="1">MP_Jun.20!$B$6:$D$12</definedName>
    <definedName name="Z_71BD7268_A1C2_49CD_ACBC_016D6C24647D_.wvu.FilterData" localSheetId="5" hidden="1">MP_Mai.20!$B$6:$D$12</definedName>
    <definedName name="Z_71BD7268_A1C2_49CD_ACBC_016D6C24647D_.wvu.FilterData" localSheetId="3" hidden="1">MP_Mar.20!$B$6:$D$12</definedName>
    <definedName name="Z_71BD7268_A1C2_49CD_ACBC_016D6C24647D_.wvu.FilterData" localSheetId="11" hidden="1">MP_Nov.20!$B$6:$D$12</definedName>
    <definedName name="Z_71BD7268_A1C2_49CD_ACBC_016D6C24647D_.wvu.FilterData" localSheetId="10" hidden="1">MP_Out.20!$B$6:$D$12</definedName>
    <definedName name="Z_71BD7268_A1C2_49CD_ACBC_016D6C24647D_.wvu.FilterData" localSheetId="9" hidden="1">MP_Set.20!$B$6:$D$12</definedName>
    <definedName name="Z_76CF81FB_8C12_4F24_A411_E8C9C288A8CD_.wvu.FilterData" localSheetId="4" hidden="1">MP_Abr.20!$B$6:$D$12</definedName>
    <definedName name="Z_76CF81FB_8C12_4F24_A411_E8C9C288A8CD_.wvu.FilterData" localSheetId="8" hidden="1">MP_Ago.20!$B$6:$D$12</definedName>
    <definedName name="Z_76CF81FB_8C12_4F24_A411_E8C9C288A8CD_.wvu.FilterData" localSheetId="12" hidden="1">MP_Dez.20!$B$6:$D$12</definedName>
    <definedName name="Z_76CF81FB_8C12_4F24_A411_E8C9C288A8CD_.wvu.FilterData" localSheetId="2" hidden="1">MP_Fev.20!$B$6:$D$12</definedName>
    <definedName name="Z_76CF81FB_8C12_4F24_A411_E8C9C288A8CD_.wvu.FilterData" localSheetId="1" hidden="1">MP_Jan.20!$B$6:$D$12</definedName>
    <definedName name="Z_76CF81FB_8C12_4F24_A411_E8C9C288A8CD_.wvu.FilterData" localSheetId="7" hidden="1">MP_Jul.20!$B$6:$D$12</definedName>
    <definedName name="Z_76CF81FB_8C12_4F24_A411_E8C9C288A8CD_.wvu.FilterData" localSheetId="6" hidden="1">MP_Jun.20!$B$6:$D$12</definedName>
    <definedName name="Z_76CF81FB_8C12_4F24_A411_E8C9C288A8CD_.wvu.FilterData" localSheetId="5" hidden="1">MP_Mai.20!$B$6:$D$12</definedName>
    <definedName name="Z_76CF81FB_8C12_4F24_A411_E8C9C288A8CD_.wvu.FilterData" localSheetId="3" hidden="1">MP_Mar.20!$B$6:$D$12</definedName>
    <definedName name="Z_76CF81FB_8C12_4F24_A411_E8C9C288A8CD_.wvu.FilterData" localSheetId="11" hidden="1">MP_Nov.20!$B$6:$D$12</definedName>
    <definedName name="Z_76CF81FB_8C12_4F24_A411_E8C9C288A8CD_.wvu.FilterData" localSheetId="10" hidden="1">MP_Out.20!$B$6:$D$12</definedName>
    <definedName name="Z_76CF81FB_8C12_4F24_A411_E8C9C288A8CD_.wvu.FilterData" localSheetId="9" hidden="1">MP_Set.20!$B$6:$D$12</definedName>
    <definedName name="Z_76CF81FB_8C12_4F24_A411_E8C9C288A8CD_.wvu.FilterData" localSheetId="0" hidden="1">'USO ANUAL'!$C$8:$E$12</definedName>
    <definedName name="Z_76CF81FB_8C12_4F24_A411_E8C9C288A8CD_.wvu.Rows" localSheetId="4" hidden="1">MP_Abr.20!#REF!</definedName>
    <definedName name="Z_76CF81FB_8C12_4F24_A411_E8C9C288A8CD_.wvu.Rows" localSheetId="8" hidden="1">MP_Ago.20!#REF!</definedName>
    <definedName name="Z_76CF81FB_8C12_4F24_A411_E8C9C288A8CD_.wvu.Rows" localSheetId="12" hidden="1">MP_Dez.20!#REF!</definedName>
    <definedName name="Z_76CF81FB_8C12_4F24_A411_E8C9C288A8CD_.wvu.Rows" localSheetId="2" hidden="1">MP_Fev.20!#REF!</definedName>
    <definedName name="Z_76CF81FB_8C12_4F24_A411_E8C9C288A8CD_.wvu.Rows" localSheetId="1" hidden="1">MP_Jan.20!#REF!</definedName>
    <definedName name="Z_76CF81FB_8C12_4F24_A411_E8C9C288A8CD_.wvu.Rows" localSheetId="7" hidden="1">MP_Jul.20!#REF!</definedName>
    <definedName name="Z_76CF81FB_8C12_4F24_A411_E8C9C288A8CD_.wvu.Rows" localSheetId="6" hidden="1">MP_Jun.20!#REF!</definedName>
    <definedName name="Z_76CF81FB_8C12_4F24_A411_E8C9C288A8CD_.wvu.Rows" localSheetId="5" hidden="1">MP_Mai.20!#REF!</definedName>
    <definedName name="Z_76CF81FB_8C12_4F24_A411_E8C9C288A8CD_.wvu.Rows" localSheetId="3" hidden="1">MP_Mar.20!#REF!</definedName>
    <definedName name="Z_76CF81FB_8C12_4F24_A411_E8C9C288A8CD_.wvu.Rows" localSheetId="11" hidden="1">MP_Nov.20!#REF!</definedName>
    <definedName name="Z_76CF81FB_8C12_4F24_A411_E8C9C288A8CD_.wvu.Rows" localSheetId="10" hidden="1">MP_Out.20!#REF!</definedName>
    <definedName name="Z_76CF81FB_8C12_4F24_A411_E8C9C288A8CD_.wvu.Rows" localSheetId="9" hidden="1">MP_Set.20!#REF!</definedName>
    <definedName name="Z_78977BDA_7BC3_48D5_902B_805B2FEDB45E_.wvu.FilterData" localSheetId="4" hidden="1">MP_Abr.20!$B$6:$D$12</definedName>
    <definedName name="Z_78977BDA_7BC3_48D5_902B_805B2FEDB45E_.wvu.FilterData" localSheetId="8" hidden="1">MP_Ago.20!$B$6:$D$12</definedName>
    <definedName name="Z_78977BDA_7BC3_48D5_902B_805B2FEDB45E_.wvu.FilterData" localSheetId="12" hidden="1">MP_Dez.20!$B$6:$D$12</definedName>
    <definedName name="Z_78977BDA_7BC3_48D5_902B_805B2FEDB45E_.wvu.FilterData" localSheetId="2" hidden="1">MP_Fev.20!$B$6:$D$12</definedName>
    <definedName name="Z_78977BDA_7BC3_48D5_902B_805B2FEDB45E_.wvu.FilterData" localSheetId="1" hidden="1">MP_Jan.20!$B$6:$D$12</definedName>
    <definedName name="Z_78977BDA_7BC3_48D5_902B_805B2FEDB45E_.wvu.FilterData" localSheetId="7" hidden="1">MP_Jul.20!$B$6:$D$12</definedName>
    <definedName name="Z_78977BDA_7BC3_48D5_902B_805B2FEDB45E_.wvu.FilterData" localSheetId="6" hidden="1">MP_Jun.20!$B$6:$D$12</definedName>
    <definedName name="Z_78977BDA_7BC3_48D5_902B_805B2FEDB45E_.wvu.FilterData" localSheetId="5" hidden="1">MP_Mai.20!$B$6:$D$12</definedName>
    <definedName name="Z_78977BDA_7BC3_48D5_902B_805B2FEDB45E_.wvu.FilterData" localSheetId="3" hidden="1">MP_Mar.20!$B$6:$D$12</definedName>
    <definedName name="Z_78977BDA_7BC3_48D5_902B_805B2FEDB45E_.wvu.FilterData" localSheetId="11" hidden="1">MP_Nov.20!$B$6:$D$12</definedName>
    <definedName name="Z_78977BDA_7BC3_48D5_902B_805B2FEDB45E_.wvu.FilterData" localSheetId="10" hidden="1">MP_Out.20!$B$6:$D$12</definedName>
    <definedName name="Z_78977BDA_7BC3_48D5_902B_805B2FEDB45E_.wvu.FilterData" localSheetId="9" hidden="1">MP_Set.20!$B$6:$D$12</definedName>
    <definedName name="Z_78977BDA_7BC3_48D5_902B_805B2FEDB45E_.wvu.FilterData" localSheetId="0" hidden="1">'USO ANUAL'!$C$8:$E$12</definedName>
    <definedName name="Z_78977BDA_7BC3_48D5_902B_805B2FEDB45E_.wvu.Rows" localSheetId="4" hidden="1">MP_Abr.20!#REF!</definedName>
    <definedName name="Z_78977BDA_7BC3_48D5_902B_805B2FEDB45E_.wvu.Rows" localSheetId="8" hidden="1">MP_Ago.20!#REF!</definedName>
    <definedName name="Z_78977BDA_7BC3_48D5_902B_805B2FEDB45E_.wvu.Rows" localSheetId="12" hidden="1">MP_Dez.20!#REF!</definedName>
    <definedName name="Z_78977BDA_7BC3_48D5_902B_805B2FEDB45E_.wvu.Rows" localSheetId="2" hidden="1">MP_Fev.20!#REF!</definedName>
    <definedName name="Z_78977BDA_7BC3_48D5_902B_805B2FEDB45E_.wvu.Rows" localSheetId="1" hidden="1">MP_Jan.20!#REF!</definedName>
    <definedName name="Z_78977BDA_7BC3_48D5_902B_805B2FEDB45E_.wvu.Rows" localSheetId="7" hidden="1">MP_Jul.20!#REF!</definedName>
    <definedName name="Z_78977BDA_7BC3_48D5_902B_805B2FEDB45E_.wvu.Rows" localSheetId="6" hidden="1">MP_Jun.20!#REF!</definedName>
    <definedName name="Z_78977BDA_7BC3_48D5_902B_805B2FEDB45E_.wvu.Rows" localSheetId="5" hidden="1">MP_Mai.20!#REF!</definedName>
    <definedName name="Z_78977BDA_7BC3_48D5_902B_805B2FEDB45E_.wvu.Rows" localSheetId="3" hidden="1">MP_Mar.20!#REF!</definedName>
    <definedName name="Z_78977BDA_7BC3_48D5_902B_805B2FEDB45E_.wvu.Rows" localSheetId="11" hidden="1">MP_Nov.20!#REF!</definedName>
    <definedName name="Z_78977BDA_7BC3_48D5_902B_805B2FEDB45E_.wvu.Rows" localSheetId="10" hidden="1">MP_Out.20!#REF!</definedName>
    <definedName name="Z_78977BDA_7BC3_48D5_902B_805B2FEDB45E_.wvu.Rows" localSheetId="9" hidden="1">MP_Set.20!#REF!</definedName>
    <definedName name="Z_78ED1A65_70C2_42E3_8439_8483AFFCF723_.wvu.FilterData" localSheetId="4" hidden="1">MP_Abr.20!$B$6:$D$12</definedName>
    <definedName name="Z_78ED1A65_70C2_42E3_8439_8483AFFCF723_.wvu.FilterData" localSheetId="8" hidden="1">MP_Ago.20!$B$6:$D$12</definedName>
    <definedName name="Z_78ED1A65_70C2_42E3_8439_8483AFFCF723_.wvu.FilterData" localSheetId="12" hidden="1">MP_Dez.20!$B$6:$D$12</definedName>
    <definedName name="Z_78ED1A65_70C2_42E3_8439_8483AFFCF723_.wvu.FilterData" localSheetId="2" hidden="1">MP_Fev.20!$B$6:$D$12</definedName>
    <definedName name="Z_78ED1A65_70C2_42E3_8439_8483AFFCF723_.wvu.FilterData" localSheetId="1" hidden="1">MP_Jan.20!$B$6:$D$12</definedName>
    <definedName name="Z_78ED1A65_70C2_42E3_8439_8483AFFCF723_.wvu.FilterData" localSheetId="7" hidden="1">MP_Jul.20!$B$6:$D$12</definedName>
    <definedName name="Z_78ED1A65_70C2_42E3_8439_8483AFFCF723_.wvu.FilterData" localSheetId="6" hidden="1">MP_Jun.20!$B$6:$D$12</definedName>
    <definedName name="Z_78ED1A65_70C2_42E3_8439_8483AFFCF723_.wvu.FilterData" localSheetId="5" hidden="1">MP_Mai.20!$B$6:$D$12</definedName>
    <definedName name="Z_78ED1A65_70C2_42E3_8439_8483AFFCF723_.wvu.FilterData" localSheetId="3" hidden="1">MP_Mar.20!$B$6:$D$12</definedName>
    <definedName name="Z_78ED1A65_70C2_42E3_8439_8483AFFCF723_.wvu.FilterData" localSheetId="11" hidden="1">MP_Nov.20!$B$6:$D$12</definedName>
    <definedName name="Z_78ED1A65_70C2_42E3_8439_8483AFFCF723_.wvu.FilterData" localSheetId="10" hidden="1">MP_Out.20!$B$6:$D$12</definedName>
    <definedName name="Z_78ED1A65_70C2_42E3_8439_8483AFFCF723_.wvu.FilterData" localSheetId="9" hidden="1">MP_Set.20!$B$6:$D$12</definedName>
    <definedName name="Z_7FC8D953_52ED_4421_B77C_29A6BEEC3936_.wvu.FilterData" localSheetId="4" hidden="1">MP_Abr.20!$B$6:$D$12</definedName>
    <definedName name="Z_7FC8D953_52ED_4421_B77C_29A6BEEC3936_.wvu.FilterData" localSheetId="8" hidden="1">MP_Ago.20!$B$6:$D$12</definedName>
    <definedName name="Z_7FC8D953_52ED_4421_B77C_29A6BEEC3936_.wvu.FilterData" localSheetId="12" hidden="1">MP_Dez.20!$B$6:$D$12</definedName>
    <definedName name="Z_7FC8D953_52ED_4421_B77C_29A6BEEC3936_.wvu.FilterData" localSheetId="2" hidden="1">MP_Fev.20!$B$6:$D$12</definedName>
    <definedName name="Z_7FC8D953_52ED_4421_B77C_29A6BEEC3936_.wvu.FilterData" localSheetId="1" hidden="1">MP_Jan.20!$B$6:$D$12</definedName>
    <definedName name="Z_7FC8D953_52ED_4421_B77C_29A6BEEC3936_.wvu.FilterData" localSheetId="7" hidden="1">MP_Jul.20!$B$6:$D$12</definedName>
    <definedName name="Z_7FC8D953_52ED_4421_B77C_29A6BEEC3936_.wvu.FilterData" localSheetId="6" hidden="1">MP_Jun.20!$B$6:$D$12</definedName>
    <definedName name="Z_7FC8D953_52ED_4421_B77C_29A6BEEC3936_.wvu.FilterData" localSheetId="5" hidden="1">MP_Mai.20!$B$6:$D$12</definedName>
    <definedName name="Z_7FC8D953_52ED_4421_B77C_29A6BEEC3936_.wvu.FilterData" localSheetId="3" hidden="1">MP_Mar.20!$B$6:$D$12</definedName>
    <definedName name="Z_7FC8D953_52ED_4421_B77C_29A6BEEC3936_.wvu.FilterData" localSheetId="11" hidden="1">MP_Nov.20!$B$6:$D$12</definedName>
    <definedName name="Z_7FC8D953_52ED_4421_B77C_29A6BEEC3936_.wvu.FilterData" localSheetId="10" hidden="1">MP_Out.20!$B$6:$D$12</definedName>
    <definedName name="Z_7FC8D953_52ED_4421_B77C_29A6BEEC3936_.wvu.FilterData" localSheetId="9" hidden="1">MP_Set.20!$B$6:$D$12</definedName>
    <definedName name="Z_8DE4AAD1_0FAC_4D46_A88D_B9C3D01F7CB8_.wvu.FilterData" localSheetId="4" hidden="1">MP_Abr.20!$B$6:$D$12</definedName>
    <definedName name="Z_8DE4AAD1_0FAC_4D46_A88D_B9C3D01F7CB8_.wvu.FilterData" localSheetId="8" hidden="1">MP_Ago.20!$B$6:$D$12</definedName>
    <definedName name="Z_8DE4AAD1_0FAC_4D46_A88D_B9C3D01F7CB8_.wvu.FilterData" localSheetId="12" hidden="1">MP_Dez.20!$B$6:$D$12</definedName>
    <definedName name="Z_8DE4AAD1_0FAC_4D46_A88D_B9C3D01F7CB8_.wvu.FilterData" localSheetId="2" hidden="1">MP_Fev.20!$B$6:$D$12</definedName>
    <definedName name="Z_8DE4AAD1_0FAC_4D46_A88D_B9C3D01F7CB8_.wvu.FilterData" localSheetId="1" hidden="1">MP_Jan.20!$B$6:$D$12</definedName>
    <definedName name="Z_8DE4AAD1_0FAC_4D46_A88D_B9C3D01F7CB8_.wvu.FilterData" localSheetId="7" hidden="1">MP_Jul.20!$B$6:$D$12</definedName>
    <definedName name="Z_8DE4AAD1_0FAC_4D46_A88D_B9C3D01F7CB8_.wvu.FilterData" localSheetId="6" hidden="1">MP_Jun.20!$B$6:$D$12</definedName>
    <definedName name="Z_8DE4AAD1_0FAC_4D46_A88D_B9C3D01F7CB8_.wvu.FilterData" localSheetId="5" hidden="1">MP_Mai.20!$B$6:$D$12</definedName>
    <definedName name="Z_8DE4AAD1_0FAC_4D46_A88D_B9C3D01F7CB8_.wvu.FilterData" localSheetId="3" hidden="1">MP_Mar.20!$B$6:$D$12</definedName>
    <definedName name="Z_8DE4AAD1_0FAC_4D46_A88D_B9C3D01F7CB8_.wvu.FilterData" localSheetId="11" hidden="1">MP_Nov.20!$B$6:$D$12</definedName>
    <definedName name="Z_8DE4AAD1_0FAC_4D46_A88D_B9C3D01F7CB8_.wvu.FilterData" localSheetId="10" hidden="1">MP_Out.20!$B$6:$D$12</definedName>
    <definedName name="Z_8DE4AAD1_0FAC_4D46_A88D_B9C3D01F7CB8_.wvu.FilterData" localSheetId="9" hidden="1">MP_Set.20!$B$6:$D$12</definedName>
    <definedName name="Z_96804FD3_42F0_4175_B0A8_ACF3D4DD17DB_.wvu.FilterData" localSheetId="4" hidden="1">MP_Abr.20!$B$6:$D$12</definedName>
    <definedName name="Z_96804FD3_42F0_4175_B0A8_ACF3D4DD17DB_.wvu.FilterData" localSheetId="8" hidden="1">MP_Ago.20!$B$6:$D$12</definedName>
    <definedName name="Z_96804FD3_42F0_4175_B0A8_ACF3D4DD17DB_.wvu.FilterData" localSheetId="12" hidden="1">MP_Dez.20!$B$6:$D$12</definedName>
    <definedName name="Z_96804FD3_42F0_4175_B0A8_ACF3D4DD17DB_.wvu.FilterData" localSheetId="2" hidden="1">MP_Fev.20!$B$6:$D$12</definedName>
    <definedName name="Z_96804FD3_42F0_4175_B0A8_ACF3D4DD17DB_.wvu.FilterData" localSheetId="1" hidden="1">MP_Jan.20!$B$6:$D$12</definedName>
    <definedName name="Z_96804FD3_42F0_4175_B0A8_ACF3D4DD17DB_.wvu.FilterData" localSheetId="7" hidden="1">MP_Jul.20!$B$6:$D$12</definedName>
    <definedName name="Z_96804FD3_42F0_4175_B0A8_ACF3D4DD17DB_.wvu.FilterData" localSheetId="6" hidden="1">MP_Jun.20!$B$6:$D$12</definedName>
    <definedName name="Z_96804FD3_42F0_4175_B0A8_ACF3D4DD17DB_.wvu.FilterData" localSheetId="5" hidden="1">MP_Mai.20!$B$6:$D$12</definedName>
    <definedName name="Z_96804FD3_42F0_4175_B0A8_ACF3D4DD17DB_.wvu.FilterData" localSheetId="3" hidden="1">MP_Mar.20!$B$6:$D$12</definedName>
    <definedName name="Z_96804FD3_42F0_4175_B0A8_ACF3D4DD17DB_.wvu.FilterData" localSheetId="11" hidden="1">MP_Nov.20!$B$6:$D$12</definedName>
    <definedName name="Z_96804FD3_42F0_4175_B0A8_ACF3D4DD17DB_.wvu.FilterData" localSheetId="10" hidden="1">MP_Out.20!$B$6:$D$12</definedName>
    <definedName name="Z_96804FD3_42F0_4175_B0A8_ACF3D4DD17DB_.wvu.FilterData" localSheetId="9" hidden="1">MP_Set.20!$B$6:$D$12</definedName>
    <definedName name="Z_96804FD3_42F0_4175_B0A8_ACF3D4DD17DB_.wvu.FilterData" localSheetId="0" hidden="1">'USO ANUAL'!$C$8:$E$12</definedName>
    <definedName name="Z_96804FD3_42F0_4175_B0A8_ACF3D4DD17DB_.wvu.Rows" localSheetId="4" hidden="1">MP_Abr.20!#REF!</definedName>
    <definedName name="Z_96804FD3_42F0_4175_B0A8_ACF3D4DD17DB_.wvu.Rows" localSheetId="8" hidden="1">MP_Ago.20!#REF!</definedName>
    <definedName name="Z_96804FD3_42F0_4175_B0A8_ACF3D4DD17DB_.wvu.Rows" localSheetId="12" hidden="1">MP_Dez.20!#REF!</definedName>
    <definedName name="Z_96804FD3_42F0_4175_B0A8_ACF3D4DD17DB_.wvu.Rows" localSheetId="2" hidden="1">MP_Fev.20!#REF!</definedName>
    <definedName name="Z_96804FD3_42F0_4175_B0A8_ACF3D4DD17DB_.wvu.Rows" localSheetId="1" hidden="1">MP_Jan.20!#REF!</definedName>
    <definedName name="Z_96804FD3_42F0_4175_B0A8_ACF3D4DD17DB_.wvu.Rows" localSheetId="7" hidden="1">MP_Jul.20!#REF!</definedName>
    <definedName name="Z_96804FD3_42F0_4175_B0A8_ACF3D4DD17DB_.wvu.Rows" localSheetId="6" hidden="1">MP_Jun.20!#REF!</definedName>
    <definedName name="Z_96804FD3_42F0_4175_B0A8_ACF3D4DD17DB_.wvu.Rows" localSheetId="5" hidden="1">MP_Mai.20!#REF!</definedName>
    <definedName name="Z_96804FD3_42F0_4175_B0A8_ACF3D4DD17DB_.wvu.Rows" localSheetId="3" hidden="1">MP_Mar.20!#REF!</definedName>
    <definedName name="Z_96804FD3_42F0_4175_B0A8_ACF3D4DD17DB_.wvu.Rows" localSheetId="11" hidden="1">MP_Nov.20!#REF!</definedName>
    <definedName name="Z_96804FD3_42F0_4175_B0A8_ACF3D4DD17DB_.wvu.Rows" localSheetId="10" hidden="1">MP_Out.20!#REF!</definedName>
    <definedName name="Z_96804FD3_42F0_4175_B0A8_ACF3D4DD17DB_.wvu.Rows" localSheetId="9" hidden="1">MP_Set.20!#REF!</definedName>
    <definedName name="Z_9C8A4538_2775_4B93_BCA2_9B6EAE3F0C6D_.wvu.FilterData" localSheetId="4" hidden="1">MP_Abr.20!$B$6:$D$12</definedName>
    <definedName name="Z_9C8A4538_2775_4B93_BCA2_9B6EAE3F0C6D_.wvu.FilterData" localSheetId="8" hidden="1">MP_Ago.20!$B$6:$D$12</definedName>
    <definedName name="Z_9C8A4538_2775_4B93_BCA2_9B6EAE3F0C6D_.wvu.FilterData" localSheetId="12" hidden="1">MP_Dez.20!$B$6:$D$12</definedName>
    <definedName name="Z_9C8A4538_2775_4B93_BCA2_9B6EAE3F0C6D_.wvu.FilterData" localSheetId="2" hidden="1">MP_Fev.20!$B$6:$D$12</definedName>
    <definedName name="Z_9C8A4538_2775_4B93_BCA2_9B6EAE3F0C6D_.wvu.FilterData" localSheetId="1" hidden="1">MP_Jan.20!$B$6:$D$12</definedName>
    <definedName name="Z_9C8A4538_2775_4B93_BCA2_9B6EAE3F0C6D_.wvu.FilterData" localSheetId="7" hidden="1">MP_Jul.20!$B$6:$D$12</definedName>
    <definedName name="Z_9C8A4538_2775_4B93_BCA2_9B6EAE3F0C6D_.wvu.FilterData" localSheetId="6" hidden="1">MP_Jun.20!$B$6:$D$12</definedName>
    <definedName name="Z_9C8A4538_2775_4B93_BCA2_9B6EAE3F0C6D_.wvu.FilterData" localSheetId="5" hidden="1">MP_Mai.20!$B$6:$D$12</definedName>
    <definedName name="Z_9C8A4538_2775_4B93_BCA2_9B6EAE3F0C6D_.wvu.FilterData" localSheetId="3" hidden="1">MP_Mar.20!$B$6:$D$12</definedName>
    <definedName name="Z_9C8A4538_2775_4B93_BCA2_9B6EAE3F0C6D_.wvu.FilterData" localSheetId="11" hidden="1">MP_Nov.20!$B$6:$D$12</definedName>
    <definedName name="Z_9C8A4538_2775_4B93_BCA2_9B6EAE3F0C6D_.wvu.FilterData" localSheetId="10" hidden="1">MP_Out.20!$B$6:$D$12</definedName>
    <definedName name="Z_9C8A4538_2775_4B93_BCA2_9B6EAE3F0C6D_.wvu.FilterData" localSheetId="9" hidden="1">MP_Set.20!$B$6:$D$12</definedName>
    <definedName name="Z_A120A56F_B6C5_411F_8482_438AA4BED783_.wvu.FilterData" localSheetId="4" hidden="1">MP_Abr.20!$B$6:$D$12</definedName>
    <definedName name="Z_A120A56F_B6C5_411F_8482_438AA4BED783_.wvu.FilterData" localSheetId="8" hidden="1">MP_Ago.20!$B$6:$D$12</definedName>
    <definedName name="Z_A120A56F_B6C5_411F_8482_438AA4BED783_.wvu.FilterData" localSheetId="12" hidden="1">MP_Dez.20!$B$6:$D$12</definedName>
    <definedName name="Z_A120A56F_B6C5_411F_8482_438AA4BED783_.wvu.FilterData" localSheetId="2" hidden="1">MP_Fev.20!$B$6:$D$12</definedName>
    <definedName name="Z_A120A56F_B6C5_411F_8482_438AA4BED783_.wvu.FilterData" localSheetId="1" hidden="1">MP_Jan.20!$B$6:$D$12</definedName>
    <definedName name="Z_A120A56F_B6C5_411F_8482_438AA4BED783_.wvu.FilterData" localSheetId="7" hidden="1">MP_Jul.20!$B$6:$D$12</definedName>
    <definedName name="Z_A120A56F_B6C5_411F_8482_438AA4BED783_.wvu.FilterData" localSheetId="6" hidden="1">MP_Jun.20!$B$6:$D$12</definedName>
    <definedName name="Z_A120A56F_B6C5_411F_8482_438AA4BED783_.wvu.FilterData" localSheetId="5" hidden="1">MP_Mai.20!$B$6:$D$12</definedName>
    <definedName name="Z_A120A56F_B6C5_411F_8482_438AA4BED783_.wvu.FilterData" localSheetId="3" hidden="1">MP_Mar.20!$B$6:$D$12</definedName>
    <definedName name="Z_A120A56F_B6C5_411F_8482_438AA4BED783_.wvu.FilterData" localSheetId="11" hidden="1">MP_Nov.20!$B$6:$D$12</definedName>
    <definedName name="Z_A120A56F_B6C5_411F_8482_438AA4BED783_.wvu.FilterData" localSheetId="10" hidden="1">MP_Out.20!$B$6:$D$12</definedName>
    <definedName name="Z_A120A56F_B6C5_411F_8482_438AA4BED783_.wvu.FilterData" localSheetId="9" hidden="1">MP_Set.20!$B$6:$D$12</definedName>
    <definedName name="Z_A120A56F_B6C5_411F_8482_438AA4BED783_.wvu.FilterData" localSheetId="0" hidden="1">'USO ANUAL'!$C$8:$E$12</definedName>
    <definedName name="Z_A3E93A13_6580_4EF4_A4F4_77F167CF62A1_.wvu.FilterData" localSheetId="4" hidden="1">MP_Abr.20!$B$6:$D$12</definedName>
    <definedName name="Z_A3E93A13_6580_4EF4_A4F4_77F167CF62A1_.wvu.FilterData" localSheetId="8" hidden="1">MP_Ago.20!$B$6:$D$12</definedName>
    <definedName name="Z_A3E93A13_6580_4EF4_A4F4_77F167CF62A1_.wvu.FilterData" localSheetId="12" hidden="1">MP_Dez.20!$B$6:$D$12</definedName>
    <definedName name="Z_A3E93A13_6580_4EF4_A4F4_77F167CF62A1_.wvu.FilterData" localSheetId="2" hidden="1">MP_Fev.20!$B$6:$D$12</definedName>
    <definedName name="Z_A3E93A13_6580_4EF4_A4F4_77F167CF62A1_.wvu.FilterData" localSheetId="1" hidden="1">MP_Jan.20!$B$6:$D$12</definedName>
    <definedName name="Z_A3E93A13_6580_4EF4_A4F4_77F167CF62A1_.wvu.FilterData" localSheetId="7" hidden="1">MP_Jul.20!$B$6:$D$12</definedName>
    <definedName name="Z_A3E93A13_6580_4EF4_A4F4_77F167CF62A1_.wvu.FilterData" localSheetId="6" hidden="1">MP_Jun.20!$B$6:$D$12</definedName>
    <definedName name="Z_A3E93A13_6580_4EF4_A4F4_77F167CF62A1_.wvu.FilterData" localSheetId="5" hidden="1">MP_Mai.20!$B$6:$D$12</definedName>
    <definedName name="Z_A3E93A13_6580_4EF4_A4F4_77F167CF62A1_.wvu.FilterData" localSheetId="3" hidden="1">MP_Mar.20!$B$6:$D$12</definedName>
    <definedName name="Z_A3E93A13_6580_4EF4_A4F4_77F167CF62A1_.wvu.FilterData" localSheetId="11" hidden="1">MP_Nov.20!$B$6:$D$12</definedName>
    <definedName name="Z_A3E93A13_6580_4EF4_A4F4_77F167CF62A1_.wvu.FilterData" localSheetId="10" hidden="1">MP_Out.20!$B$6:$D$12</definedName>
    <definedName name="Z_A3E93A13_6580_4EF4_A4F4_77F167CF62A1_.wvu.FilterData" localSheetId="9" hidden="1">MP_Set.20!$B$6:$D$12</definedName>
    <definedName name="Z_A3E93A13_6580_4EF4_A4F4_77F167CF62A1_.wvu.FilterData" localSheetId="0" hidden="1">'USO ANUAL'!$C$8:$E$12</definedName>
    <definedName name="Z_A3E93A13_6580_4EF4_A4F4_77F167CF62A1_.wvu.Rows" localSheetId="4" hidden="1">MP_Abr.20!#REF!</definedName>
    <definedName name="Z_A3E93A13_6580_4EF4_A4F4_77F167CF62A1_.wvu.Rows" localSheetId="8" hidden="1">MP_Ago.20!#REF!</definedName>
    <definedName name="Z_A3E93A13_6580_4EF4_A4F4_77F167CF62A1_.wvu.Rows" localSheetId="12" hidden="1">MP_Dez.20!#REF!</definedName>
    <definedName name="Z_A3E93A13_6580_4EF4_A4F4_77F167CF62A1_.wvu.Rows" localSheetId="2" hidden="1">MP_Fev.20!#REF!</definedName>
    <definedName name="Z_A3E93A13_6580_4EF4_A4F4_77F167CF62A1_.wvu.Rows" localSheetId="1" hidden="1">MP_Jan.20!#REF!</definedName>
    <definedName name="Z_A3E93A13_6580_4EF4_A4F4_77F167CF62A1_.wvu.Rows" localSheetId="7" hidden="1">MP_Jul.20!#REF!</definedName>
    <definedName name="Z_A3E93A13_6580_4EF4_A4F4_77F167CF62A1_.wvu.Rows" localSheetId="6" hidden="1">MP_Jun.20!#REF!</definedName>
    <definedName name="Z_A3E93A13_6580_4EF4_A4F4_77F167CF62A1_.wvu.Rows" localSheetId="5" hidden="1">MP_Mai.20!#REF!</definedName>
    <definedName name="Z_A3E93A13_6580_4EF4_A4F4_77F167CF62A1_.wvu.Rows" localSheetId="3" hidden="1">MP_Mar.20!#REF!</definedName>
    <definedName name="Z_A3E93A13_6580_4EF4_A4F4_77F167CF62A1_.wvu.Rows" localSheetId="11" hidden="1">MP_Nov.20!#REF!</definedName>
    <definedName name="Z_A3E93A13_6580_4EF4_A4F4_77F167CF62A1_.wvu.Rows" localSheetId="10" hidden="1">MP_Out.20!#REF!</definedName>
    <definedName name="Z_A3E93A13_6580_4EF4_A4F4_77F167CF62A1_.wvu.Rows" localSheetId="9" hidden="1">MP_Set.20!#REF!</definedName>
    <definedName name="Z_AAE0FE90_9AD7_4106_9FB9_7D4AC5EBF103_.wvu.FilterData" localSheetId="0" hidden="1">'USO ANUAL'!$C$8:$E$12</definedName>
    <definedName name="Z_AF4275FC_2E8B_4F5B_8DD4_B9B90096971E_.wvu.FilterData" localSheetId="4" hidden="1">MP_Abr.20!$B$6:$D$12</definedName>
    <definedName name="Z_AF4275FC_2E8B_4F5B_8DD4_B9B90096971E_.wvu.FilterData" localSheetId="8" hidden="1">MP_Ago.20!$B$6:$D$12</definedName>
    <definedName name="Z_AF4275FC_2E8B_4F5B_8DD4_B9B90096971E_.wvu.FilterData" localSheetId="12" hidden="1">MP_Dez.20!$B$6:$D$12</definedName>
    <definedName name="Z_AF4275FC_2E8B_4F5B_8DD4_B9B90096971E_.wvu.FilterData" localSheetId="2" hidden="1">MP_Fev.20!$B$6:$D$12</definedName>
    <definedName name="Z_AF4275FC_2E8B_4F5B_8DD4_B9B90096971E_.wvu.FilterData" localSheetId="1" hidden="1">MP_Jan.20!$B$6:$D$12</definedName>
    <definedName name="Z_AF4275FC_2E8B_4F5B_8DD4_B9B90096971E_.wvu.FilterData" localSheetId="7" hidden="1">MP_Jul.20!$B$6:$D$12</definedName>
    <definedName name="Z_AF4275FC_2E8B_4F5B_8DD4_B9B90096971E_.wvu.FilterData" localSheetId="6" hidden="1">MP_Jun.20!$B$6:$D$12</definedName>
    <definedName name="Z_AF4275FC_2E8B_4F5B_8DD4_B9B90096971E_.wvu.FilterData" localSheetId="5" hidden="1">MP_Mai.20!$B$6:$D$12</definedName>
    <definedName name="Z_AF4275FC_2E8B_4F5B_8DD4_B9B90096971E_.wvu.FilterData" localSheetId="3" hidden="1">MP_Mar.20!$B$6:$D$12</definedName>
    <definedName name="Z_AF4275FC_2E8B_4F5B_8DD4_B9B90096971E_.wvu.FilterData" localSheetId="11" hidden="1">MP_Nov.20!$B$6:$D$12</definedName>
    <definedName name="Z_AF4275FC_2E8B_4F5B_8DD4_B9B90096971E_.wvu.FilterData" localSheetId="10" hidden="1">MP_Out.20!$B$6:$D$12</definedName>
    <definedName name="Z_AF4275FC_2E8B_4F5B_8DD4_B9B90096971E_.wvu.FilterData" localSheetId="9" hidden="1">MP_Set.20!$B$6:$D$12</definedName>
    <definedName name="Z_AF4275FC_2E8B_4F5B_8DD4_B9B90096971E_.wvu.FilterData" localSheetId="0" hidden="1">'USO ANUAL'!$C$8:$E$12</definedName>
    <definedName name="Z_AFEB5CD8_FB47_46C7_A810_49CABED63CED_.wvu.FilterData" localSheetId="4" hidden="1">MP_Abr.20!$B$6:$D$12</definedName>
    <definedName name="Z_AFEB5CD8_FB47_46C7_A810_49CABED63CED_.wvu.FilterData" localSheetId="8" hidden="1">MP_Ago.20!$B$6:$D$12</definedName>
    <definedName name="Z_AFEB5CD8_FB47_46C7_A810_49CABED63CED_.wvu.FilterData" localSheetId="12" hidden="1">MP_Dez.20!$B$6:$D$12</definedName>
    <definedName name="Z_AFEB5CD8_FB47_46C7_A810_49CABED63CED_.wvu.FilterData" localSheetId="2" hidden="1">MP_Fev.20!$B$6:$D$12</definedName>
    <definedName name="Z_AFEB5CD8_FB47_46C7_A810_49CABED63CED_.wvu.FilterData" localSheetId="1" hidden="1">MP_Jan.20!$B$6:$D$12</definedName>
    <definedName name="Z_AFEB5CD8_FB47_46C7_A810_49CABED63CED_.wvu.FilterData" localSheetId="7" hidden="1">MP_Jul.20!$B$6:$D$12</definedName>
    <definedName name="Z_AFEB5CD8_FB47_46C7_A810_49CABED63CED_.wvu.FilterData" localSheetId="6" hidden="1">MP_Jun.20!$B$6:$D$12</definedName>
    <definedName name="Z_AFEB5CD8_FB47_46C7_A810_49CABED63CED_.wvu.FilterData" localSheetId="5" hidden="1">MP_Mai.20!$B$6:$D$12</definedName>
    <definedName name="Z_AFEB5CD8_FB47_46C7_A810_49CABED63CED_.wvu.FilterData" localSheetId="3" hidden="1">MP_Mar.20!$B$6:$D$12</definedName>
    <definedName name="Z_AFEB5CD8_FB47_46C7_A810_49CABED63CED_.wvu.FilterData" localSheetId="11" hidden="1">MP_Nov.20!$B$6:$D$12</definedName>
    <definedName name="Z_AFEB5CD8_FB47_46C7_A810_49CABED63CED_.wvu.FilterData" localSheetId="10" hidden="1">MP_Out.20!$B$6:$D$12</definedName>
    <definedName name="Z_AFEB5CD8_FB47_46C7_A810_49CABED63CED_.wvu.FilterData" localSheetId="9" hidden="1">MP_Set.20!$B$6:$D$12</definedName>
    <definedName name="Z_AFEB5CD8_FB47_46C7_A810_49CABED63CED_.wvu.FilterData" localSheetId="0" hidden="1">'USO ANUAL'!$C$8:$E$12</definedName>
    <definedName name="Z_B156E80A_C1F3_433F_99B4_E8296E36DB3B_.wvu.FilterData" localSheetId="4" hidden="1">MP_Abr.20!$B$6:$D$12</definedName>
    <definedName name="Z_B156E80A_C1F3_433F_99B4_E8296E36DB3B_.wvu.FilterData" localSheetId="8" hidden="1">MP_Ago.20!$B$6:$D$12</definedName>
    <definedName name="Z_B156E80A_C1F3_433F_99B4_E8296E36DB3B_.wvu.FilterData" localSheetId="12" hidden="1">MP_Dez.20!$B$6:$D$12</definedName>
    <definedName name="Z_B156E80A_C1F3_433F_99B4_E8296E36DB3B_.wvu.FilterData" localSheetId="2" hidden="1">MP_Fev.20!$B$6:$D$12</definedName>
    <definedName name="Z_B156E80A_C1F3_433F_99B4_E8296E36DB3B_.wvu.FilterData" localSheetId="1" hidden="1">MP_Jan.20!$B$6:$D$12</definedName>
    <definedName name="Z_B156E80A_C1F3_433F_99B4_E8296E36DB3B_.wvu.FilterData" localSheetId="7" hidden="1">MP_Jul.20!$B$6:$D$12</definedName>
    <definedName name="Z_B156E80A_C1F3_433F_99B4_E8296E36DB3B_.wvu.FilterData" localSheetId="6" hidden="1">MP_Jun.20!$B$6:$D$12</definedName>
    <definedName name="Z_B156E80A_C1F3_433F_99B4_E8296E36DB3B_.wvu.FilterData" localSheetId="5" hidden="1">MP_Mai.20!$B$6:$D$12</definedName>
    <definedName name="Z_B156E80A_C1F3_433F_99B4_E8296E36DB3B_.wvu.FilterData" localSheetId="3" hidden="1">MP_Mar.20!$B$6:$D$12</definedName>
    <definedName name="Z_B156E80A_C1F3_433F_99B4_E8296E36DB3B_.wvu.FilterData" localSheetId="11" hidden="1">MP_Nov.20!$B$6:$D$12</definedName>
    <definedName name="Z_B156E80A_C1F3_433F_99B4_E8296E36DB3B_.wvu.FilterData" localSheetId="10" hidden="1">MP_Out.20!$B$6:$D$12</definedName>
    <definedName name="Z_B156E80A_C1F3_433F_99B4_E8296E36DB3B_.wvu.FilterData" localSheetId="9" hidden="1">MP_Set.20!$B$6:$D$12</definedName>
    <definedName name="Z_B156E80A_C1F3_433F_99B4_E8296E36DB3B_.wvu.FilterData" localSheetId="0" hidden="1">'USO ANUAL'!$C$8:$E$12</definedName>
    <definedName name="Z_B156E80A_C1F3_433F_99B4_E8296E36DB3B_.wvu.Rows" localSheetId="4" hidden="1">MP_Abr.20!#REF!</definedName>
    <definedName name="Z_B156E80A_C1F3_433F_99B4_E8296E36DB3B_.wvu.Rows" localSheetId="8" hidden="1">MP_Ago.20!#REF!</definedName>
    <definedName name="Z_B156E80A_C1F3_433F_99B4_E8296E36DB3B_.wvu.Rows" localSheetId="12" hidden="1">MP_Dez.20!#REF!</definedName>
    <definedName name="Z_B156E80A_C1F3_433F_99B4_E8296E36DB3B_.wvu.Rows" localSheetId="2" hidden="1">MP_Fev.20!#REF!</definedName>
    <definedName name="Z_B156E80A_C1F3_433F_99B4_E8296E36DB3B_.wvu.Rows" localSheetId="1" hidden="1">MP_Jan.20!#REF!</definedName>
    <definedName name="Z_B156E80A_C1F3_433F_99B4_E8296E36DB3B_.wvu.Rows" localSheetId="7" hidden="1">MP_Jul.20!#REF!</definedName>
    <definedName name="Z_B156E80A_C1F3_433F_99B4_E8296E36DB3B_.wvu.Rows" localSheetId="6" hidden="1">MP_Jun.20!#REF!</definedName>
    <definedName name="Z_B156E80A_C1F3_433F_99B4_E8296E36DB3B_.wvu.Rows" localSheetId="5" hidden="1">MP_Mai.20!#REF!</definedName>
    <definedName name="Z_B156E80A_C1F3_433F_99B4_E8296E36DB3B_.wvu.Rows" localSheetId="3" hidden="1">MP_Mar.20!#REF!</definedName>
    <definedName name="Z_B156E80A_C1F3_433F_99B4_E8296E36DB3B_.wvu.Rows" localSheetId="11" hidden="1">MP_Nov.20!#REF!</definedName>
    <definedName name="Z_B156E80A_C1F3_433F_99B4_E8296E36DB3B_.wvu.Rows" localSheetId="10" hidden="1">MP_Out.20!#REF!</definedName>
    <definedName name="Z_B156E80A_C1F3_433F_99B4_E8296E36DB3B_.wvu.Rows" localSheetId="9" hidden="1">MP_Set.20!#REF!</definedName>
    <definedName name="Z_B38B8808_E606_40E6_B441_1BC7235E6DC1_.wvu.FilterData" localSheetId="4" hidden="1">MP_Abr.20!$B$6:$D$12</definedName>
    <definedName name="Z_B38B8808_E606_40E6_B441_1BC7235E6DC1_.wvu.FilterData" localSheetId="8" hidden="1">MP_Ago.20!$B$6:$D$12</definedName>
    <definedName name="Z_B38B8808_E606_40E6_B441_1BC7235E6DC1_.wvu.FilterData" localSheetId="12" hidden="1">MP_Dez.20!$B$6:$D$12</definedName>
    <definedName name="Z_B38B8808_E606_40E6_B441_1BC7235E6DC1_.wvu.FilterData" localSheetId="2" hidden="1">MP_Fev.20!$B$6:$D$12</definedName>
    <definedName name="Z_B38B8808_E606_40E6_B441_1BC7235E6DC1_.wvu.FilterData" localSheetId="1" hidden="1">MP_Jan.20!$B$6:$D$12</definedName>
    <definedName name="Z_B38B8808_E606_40E6_B441_1BC7235E6DC1_.wvu.FilterData" localSheetId="7" hidden="1">MP_Jul.20!$B$6:$D$12</definedName>
    <definedName name="Z_B38B8808_E606_40E6_B441_1BC7235E6DC1_.wvu.FilterData" localSheetId="6" hidden="1">MP_Jun.20!$B$6:$D$12</definedName>
    <definedName name="Z_B38B8808_E606_40E6_B441_1BC7235E6DC1_.wvu.FilterData" localSheetId="5" hidden="1">MP_Mai.20!$B$6:$D$12</definedName>
    <definedName name="Z_B38B8808_E606_40E6_B441_1BC7235E6DC1_.wvu.FilterData" localSheetId="3" hidden="1">MP_Mar.20!$B$6:$D$12</definedName>
    <definedName name="Z_B38B8808_E606_40E6_B441_1BC7235E6DC1_.wvu.FilterData" localSheetId="11" hidden="1">MP_Nov.20!$B$6:$D$12</definedName>
    <definedName name="Z_B38B8808_E606_40E6_B441_1BC7235E6DC1_.wvu.FilterData" localSheetId="10" hidden="1">MP_Out.20!$B$6:$D$12</definedName>
    <definedName name="Z_B38B8808_E606_40E6_B441_1BC7235E6DC1_.wvu.FilterData" localSheetId="9" hidden="1">MP_Set.20!$B$6:$D$12</definedName>
    <definedName name="Z_B38B8808_E606_40E6_B441_1BC7235E6DC1_.wvu.FilterData" localSheetId="0" hidden="1">'USO ANUAL'!$C$8:$E$12</definedName>
    <definedName name="Z_B38B8808_E606_40E6_B441_1BC7235E6DC1_.wvu.Rows" localSheetId="4" hidden="1">MP_Abr.20!#REF!</definedName>
    <definedName name="Z_B38B8808_E606_40E6_B441_1BC7235E6DC1_.wvu.Rows" localSheetId="8" hidden="1">MP_Ago.20!#REF!</definedName>
    <definedName name="Z_B38B8808_E606_40E6_B441_1BC7235E6DC1_.wvu.Rows" localSheetId="12" hidden="1">MP_Dez.20!#REF!</definedName>
    <definedName name="Z_B38B8808_E606_40E6_B441_1BC7235E6DC1_.wvu.Rows" localSheetId="2" hidden="1">MP_Fev.20!#REF!</definedName>
    <definedName name="Z_B38B8808_E606_40E6_B441_1BC7235E6DC1_.wvu.Rows" localSheetId="1" hidden="1">MP_Jan.20!#REF!</definedName>
    <definedName name="Z_B38B8808_E606_40E6_B441_1BC7235E6DC1_.wvu.Rows" localSheetId="7" hidden="1">MP_Jul.20!#REF!</definedName>
    <definedName name="Z_B38B8808_E606_40E6_B441_1BC7235E6DC1_.wvu.Rows" localSheetId="6" hidden="1">MP_Jun.20!#REF!</definedName>
    <definedName name="Z_B38B8808_E606_40E6_B441_1BC7235E6DC1_.wvu.Rows" localSheetId="5" hidden="1">MP_Mai.20!#REF!</definedName>
    <definedName name="Z_B38B8808_E606_40E6_B441_1BC7235E6DC1_.wvu.Rows" localSheetId="3" hidden="1">MP_Mar.20!#REF!</definedName>
    <definedName name="Z_B38B8808_E606_40E6_B441_1BC7235E6DC1_.wvu.Rows" localSheetId="11" hidden="1">MP_Nov.20!#REF!</definedName>
    <definedName name="Z_B38B8808_E606_40E6_B441_1BC7235E6DC1_.wvu.Rows" localSheetId="10" hidden="1">MP_Out.20!#REF!</definedName>
    <definedName name="Z_B38B8808_E606_40E6_B441_1BC7235E6DC1_.wvu.Rows" localSheetId="9" hidden="1">MP_Set.20!#REF!</definedName>
    <definedName name="Z_BEB13373_7997_40A6_8350_A94A9599F1C1_.wvu.FilterData" localSheetId="4" hidden="1">MP_Abr.20!$B$6:$D$12</definedName>
    <definedName name="Z_BEB13373_7997_40A6_8350_A94A9599F1C1_.wvu.FilterData" localSheetId="8" hidden="1">MP_Ago.20!$B$6:$D$12</definedName>
    <definedName name="Z_BEB13373_7997_40A6_8350_A94A9599F1C1_.wvu.FilterData" localSheetId="12" hidden="1">MP_Dez.20!$B$6:$D$12</definedName>
    <definedName name="Z_BEB13373_7997_40A6_8350_A94A9599F1C1_.wvu.FilterData" localSheetId="2" hidden="1">MP_Fev.20!$B$6:$D$12</definedName>
    <definedName name="Z_BEB13373_7997_40A6_8350_A94A9599F1C1_.wvu.FilterData" localSheetId="1" hidden="1">MP_Jan.20!$B$6:$D$12</definedName>
    <definedName name="Z_BEB13373_7997_40A6_8350_A94A9599F1C1_.wvu.FilterData" localSheetId="7" hidden="1">MP_Jul.20!$B$6:$D$12</definedName>
    <definedName name="Z_BEB13373_7997_40A6_8350_A94A9599F1C1_.wvu.FilterData" localSheetId="6" hidden="1">MP_Jun.20!$B$6:$D$12</definedName>
    <definedName name="Z_BEB13373_7997_40A6_8350_A94A9599F1C1_.wvu.FilterData" localSheetId="5" hidden="1">MP_Mai.20!$B$6:$D$12</definedName>
    <definedName name="Z_BEB13373_7997_40A6_8350_A94A9599F1C1_.wvu.FilterData" localSheetId="3" hidden="1">MP_Mar.20!$B$6:$D$12</definedName>
    <definedName name="Z_BEB13373_7997_40A6_8350_A94A9599F1C1_.wvu.FilterData" localSheetId="11" hidden="1">MP_Nov.20!$B$6:$D$12</definedName>
    <definedName name="Z_BEB13373_7997_40A6_8350_A94A9599F1C1_.wvu.FilterData" localSheetId="10" hidden="1">MP_Out.20!$B$6:$D$12</definedName>
    <definedName name="Z_BEB13373_7997_40A6_8350_A94A9599F1C1_.wvu.FilterData" localSheetId="9" hidden="1">MP_Set.20!$B$6:$D$12</definedName>
    <definedName name="Z_BEB13373_7997_40A6_8350_A94A9599F1C1_.wvu.FilterData" localSheetId="0" hidden="1">'USO ANUAL'!$C$8:$E$12</definedName>
    <definedName name="Z_BEB13373_7997_40A6_8350_A94A9599F1C1_.wvu.Rows" localSheetId="4" hidden="1">MP_Abr.20!#REF!</definedName>
    <definedName name="Z_BEB13373_7997_40A6_8350_A94A9599F1C1_.wvu.Rows" localSheetId="8" hidden="1">MP_Ago.20!#REF!</definedName>
    <definedName name="Z_BEB13373_7997_40A6_8350_A94A9599F1C1_.wvu.Rows" localSheetId="12" hidden="1">MP_Dez.20!#REF!</definedName>
    <definedName name="Z_BEB13373_7997_40A6_8350_A94A9599F1C1_.wvu.Rows" localSheetId="2" hidden="1">MP_Fev.20!#REF!</definedName>
    <definedName name="Z_BEB13373_7997_40A6_8350_A94A9599F1C1_.wvu.Rows" localSheetId="1" hidden="1">MP_Jan.20!#REF!</definedName>
    <definedName name="Z_BEB13373_7997_40A6_8350_A94A9599F1C1_.wvu.Rows" localSheetId="7" hidden="1">MP_Jul.20!#REF!</definedName>
    <definedName name="Z_BEB13373_7997_40A6_8350_A94A9599F1C1_.wvu.Rows" localSheetId="6" hidden="1">MP_Jun.20!#REF!</definedName>
    <definedName name="Z_BEB13373_7997_40A6_8350_A94A9599F1C1_.wvu.Rows" localSheetId="5" hidden="1">MP_Mai.20!#REF!</definedName>
    <definedName name="Z_BEB13373_7997_40A6_8350_A94A9599F1C1_.wvu.Rows" localSheetId="3" hidden="1">MP_Mar.20!#REF!</definedName>
    <definedName name="Z_BEB13373_7997_40A6_8350_A94A9599F1C1_.wvu.Rows" localSheetId="11" hidden="1">MP_Nov.20!#REF!</definedName>
    <definedName name="Z_BEB13373_7997_40A6_8350_A94A9599F1C1_.wvu.Rows" localSheetId="10" hidden="1">MP_Out.20!#REF!</definedName>
    <definedName name="Z_BEB13373_7997_40A6_8350_A94A9599F1C1_.wvu.Rows" localSheetId="9" hidden="1">MP_Set.20!#REF!</definedName>
    <definedName name="Z_C0E52587_A343_4345_8A32_04F472A2401B_.wvu.FilterData" localSheetId="0" hidden="1">'USO ANUAL'!$C$8:$E$12</definedName>
    <definedName name="Z_C2C212CF_0C6A_42AC_9830_454461553880_.wvu.FilterData" localSheetId="0" hidden="1">'USO ANUAL'!$C$8:$E$12</definedName>
    <definedName name="Z_C514F366_F7A3_4F20_B2E3_992AA09FAEF9_.wvu.FilterData" localSheetId="4" hidden="1">MP_Abr.20!$B$6:$D$12</definedName>
    <definedName name="Z_C514F366_F7A3_4F20_B2E3_992AA09FAEF9_.wvu.FilterData" localSheetId="8" hidden="1">MP_Ago.20!$B$6:$D$12</definedName>
    <definedName name="Z_C514F366_F7A3_4F20_B2E3_992AA09FAEF9_.wvu.FilterData" localSheetId="12" hidden="1">MP_Dez.20!$B$6:$D$12</definedName>
    <definedName name="Z_C514F366_F7A3_4F20_B2E3_992AA09FAEF9_.wvu.FilterData" localSheetId="2" hidden="1">MP_Fev.20!$B$6:$D$12</definedName>
    <definedName name="Z_C514F366_F7A3_4F20_B2E3_992AA09FAEF9_.wvu.FilterData" localSheetId="1" hidden="1">MP_Jan.20!$B$6:$D$12</definedName>
    <definedName name="Z_C514F366_F7A3_4F20_B2E3_992AA09FAEF9_.wvu.FilterData" localSheetId="7" hidden="1">MP_Jul.20!$B$6:$D$12</definedName>
    <definedName name="Z_C514F366_F7A3_4F20_B2E3_992AA09FAEF9_.wvu.FilterData" localSheetId="6" hidden="1">MP_Jun.20!$B$6:$D$12</definedName>
    <definedName name="Z_C514F366_F7A3_4F20_B2E3_992AA09FAEF9_.wvu.FilterData" localSheetId="5" hidden="1">MP_Mai.20!$B$6:$D$12</definedName>
    <definedName name="Z_C514F366_F7A3_4F20_B2E3_992AA09FAEF9_.wvu.FilterData" localSheetId="3" hidden="1">MP_Mar.20!$B$6:$D$12</definedName>
    <definedName name="Z_C514F366_F7A3_4F20_B2E3_992AA09FAEF9_.wvu.FilterData" localSheetId="11" hidden="1">MP_Nov.20!$B$6:$D$12</definedName>
    <definedName name="Z_C514F366_F7A3_4F20_B2E3_992AA09FAEF9_.wvu.FilterData" localSheetId="10" hidden="1">MP_Out.20!$B$6:$D$12</definedName>
    <definedName name="Z_C514F366_F7A3_4F20_B2E3_992AA09FAEF9_.wvu.FilterData" localSheetId="9" hidden="1">MP_Set.20!$B$6:$D$12</definedName>
    <definedName name="Z_C514F366_F7A3_4F20_B2E3_992AA09FAEF9_.wvu.FilterData" localSheetId="0" hidden="1">'USO ANUAL'!$C$8:$E$12</definedName>
    <definedName name="Z_C6FA0462_206E_492B_B778_A9DEB2DF4023_.wvu.FilterData" localSheetId="4" hidden="1">MP_Abr.20!$B$6:$D$12</definedName>
    <definedName name="Z_C6FA0462_206E_492B_B778_A9DEB2DF4023_.wvu.FilterData" localSheetId="8" hidden="1">MP_Ago.20!$B$6:$D$12</definedName>
    <definedName name="Z_C6FA0462_206E_492B_B778_A9DEB2DF4023_.wvu.FilterData" localSheetId="12" hidden="1">MP_Dez.20!$B$6:$D$12</definedName>
    <definedName name="Z_C6FA0462_206E_492B_B778_A9DEB2DF4023_.wvu.FilterData" localSheetId="2" hidden="1">MP_Fev.20!$B$6:$D$12</definedName>
    <definedName name="Z_C6FA0462_206E_492B_B778_A9DEB2DF4023_.wvu.FilterData" localSheetId="1" hidden="1">MP_Jan.20!$B$6:$D$12</definedName>
    <definedName name="Z_C6FA0462_206E_492B_B778_A9DEB2DF4023_.wvu.FilterData" localSheetId="7" hidden="1">MP_Jul.20!$B$6:$D$12</definedName>
    <definedName name="Z_C6FA0462_206E_492B_B778_A9DEB2DF4023_.wvu.FilterData" localSheetId="6" hidden="1">MP_Jun.20!$B$6:$D$12</definedName>
    <definedName name="Z_C6FA0462_206E_492B_B778_A9DEB2DF4023_.wvu.FilterData" localSheetId="5" hidden="1">MP_Mai.20!$B$6:$D$12</definedName>
    <definedName name="Z_C6FA0462_206E_492B_B778_A9DEB2DF4023_.wvu.FilterData" localSheetId="3" hidden="1">MP_Mar.20!$B$6:$D$12</definedName>
    <definedName name="Z_C6FA0462_206E_492B_B778_A9DEB2DF4023_.wvu.FilterData" localSheetId="11" hidden="1">MP_Nov.20!$B$6:$D$12</definedName>
    <definedName name="Z_C6FA0462_206E_492B_B778_A9DEB2DF4023_.wvu.FilterData" localSheetId="10" hidden="1">MP_Out.20!$B$6:$D$12</definedName>
    <definedName name="Z_C6FA0462_206E_492B_B778_A9DEB2DF4023_.wvu.FilterData" localSheetId="9" hidden="1">MP_Set.20!$B$6:$D$12</definedName>
    <definedName name="Z_C6FA0462_206E_492B_B778_A9DEB2DF4023_.wvu.FilterData" localSheetId="0" hidden="1">'USO ANUAL'!$C$8:$E$12</definedName>
    <definedName name="Z_C7473054_0FB5_45D2_81CA_480A06E48121_.wvu.FilterData" localSheetId="0" hidden="1">'USO ANUAL'!$C$8:$E$12</definedName>
    <definedName name="Z_C9158A86_6947_4114_90BA_0088DCE68930_.wvu.FilterData" localSheetId="4" hidden="1">MP_Abr.20!$B$6:$D$12</definedName>
    <definedName name="Z_C9158A86_6947_4114_90BA_0088DCE68930_.wvu.FilterData" localSheetId="8" hidden="1">MP_Ago.20!$B$6:$D$12</definedName>
    <definedName name="Z_C9158A86_6947_4114_90BA_0088DCE68930_.wvu.FilterData" localSheetId="12" hidden="1">MP_Dez.20!$B$6:$D$12</definedName>
    <definedName name="Z_C9158A86_6947_4114_90BA_0088DCE68930_.wvu.FilterData" localSheetId="2" hidden="1">MP_Fev.20!$B$6:$D$12</definedName>
    <definedName name="Z_C9158A86_6947_4114_90BA_0088DCE68930_.wvu.FilterData" localSheetId="1" hidden="1">MP_Jan.20!$B$6:$D$12</definedName>
    <definedName name="Z_C9158A86_6947_4114_90BA_0088DCE68930_.wvu.FilterData" localSheetId="7" hidden="1">MP_Jul.20!$B$6:$D$12</definedName>
    <definedName name="Z_C9158A86_6947_4114_90BA_0088DCE68930_.wvu.FilterData" localSheetId="6" hidden="1">MP_Jun.20!$B$6:$D$12</definedName>
    <definedName name="Z_C9158A86_6947_4114_90BA_0088DCE68930_.wvu.FilterData" localSheetId="5" hidden="1">MP_Mai.20!$B$6:$D$12</definedName>
    <definedName name="Z_C9158A86_6947_4114_90BA_0088DCE68930_.wvu.FilterData" localSheetId="3" hidden="1">MP_Mar.20!$B$6:$D$12</definedName>
    <definedName name="Z_C9158A86_6947_4114_90BA_0088DCE68930_.wvu.FilterData" localSheetId="11" hidden="1">MP_Nov.20!$B$6:$D$12</definedName>
    <definedName name="Z_C9158A86_6947_4114_90BA_0088DCE68930_.wvu.FilterData" localSheetId="10" hidden="1">MP_Out.20!$B$6:$D$12</definedName>
    <definedName name="Z_C9158A86_6947_4114_90BA_0088DCE68930_.wvu.FilterData" localSheetId="9" hidden="1">MP_Set.20!$B$6:$D$12</definedName>
    <definedName name="Z_C9158A86_6947_4114_90BA_0088DCE68930_.wvu.FilterData" localSheetId="0" hidden="1">'USO ANUAL'!$C$8:$E$12</definedName>
    <definedName name="Z_C9158A86_6947_4114_90BA_0088DCE68930_.wvu.Rows" localSheetId="4" hidden="1">MP_Abr.20!#REF!</definedName>
    <definedName name="Z_C9158A86_6947_4114_90BA_0088DCE68930_.wvu.Rows" localSheetId="8" hidden="1">MP_Ago.20!#REF!</definedName>
    <definedName name="Z_C9158A86_6947_4114_90BA_0088DCE68930_.wvu.Rows" localSheetId="12" hidden="1">MP_Dez.20!#REF!</definedName>
    <definedName name="Z_C9158A86_6947_4114_90BA_0088DCE68930_.wvu.Rows" localSheetId="2" hidden="1">MP_Fev.20!#REF!</definedName>
    <definedName name="Z_C9158A86_6947_4114_90BA_0088DCE68930_.wvu.Rows" localSheetId="1" hidden="1">MP_Jan.20!#REF!</definedName>
    <definedName name="Z_C9158A86_6947_4114_90BA_0088DCE68930_.wvu.Rows" localSheetId="7" hidden="1">MP_Jul.20!#REF!</definedName>
    <definedName name="Z_C9158A86_6947_4114_90BA_0088DCE68930_.wvu.Rows" localSheetId="6" hidden="1">MP_Jun.20!#REF!</definedName>
    <definedName name="Z_C9158A86_6947_4114_90BA_0088DCE68930_.wvu.Rows" localSheetId="5" hidden="1">MP_Mai.20!#REF!</definedName>
    <definedName name="Z_C9158A86_6947_4114_90BA_0088DCE68930_.wvu.Rows" localSheetId="3" hidden="1">MP_Mar.20!#REF!</definedName>
    <definedName name="Z_C9158A86_6947_4114_90BA_0088DCE68930_.wvu.Rows" localSheetId="11" hidden="1">MP_Nov.20!#REF!</definedName>
    <definedName name="Z_C9158A86_6947_4114_90BA_0088DCE68930_.wvu.Rows" localSheetId="10" hidden="1">MP_Out.20!#REF!</definedName>
    <definedName name="Z_C9158A86_6947_4114_90BA_0088DCE68930_.wvu.Rows" localSheetId="9" hidden="1">MP_Set.20!#REF!</definedName>
    <definedName name="Z_CBB421CE_E6BE_4740_BAAC_1F6D119631BD_.wvu.FilterData" localSheetId="0" hidden="1">'USO ANUAL'!$C$8:$E$12</definedName>
    <definedName name="Z_D0FFB45C_CD43_49C6_B630_A008EB615BAB_.wvu.FilterData" localSheetId="0" hidden="1">'USO ANUAL'!$C$8:$E$12</definedName>
    <definedName name="Z_E6B30169_F336_4F8B_8D4C_F48313AF2B4D_.wvu.FilterData" localSheetId="4" hidden="1">MP_Abr.20!$B$6:$D$12</definedName>
    <definedName name="Z_E6B30169_F336_4F8B_8D4C_F48313AF2B4D_.wvu.FilterData" localSheetId="8" hidden="1">MP_Ago.20!$B$6:$D$12</definedName>
    <definedName name="Z_E6B30169_F336_4F8B_8D4C_F48313AF2B4D_.wvu.FilterData" localSheetId="12" hidden="1">MP_Dez.20!$B$6:$D$12</definedName>
    <definedName name="Z_E6B30169_F336_4F8B_8D4C_F48313AF2B4D_.wvu.FilterData" localSheetId="2" hidden="1">MP_Fev.20!$B$6:$D$12</definedName>
    <definedName name="Z_E6B30169_F336_4F8B_8D4C_F48313AF2B4D_.wvu.FilterData" localSheetId="1" hidden="1">MP_Jan.20!$B$6:$D$12</definedName>
    <definedName name="Z_E6B30169_F336_4F8B_8D4C_F48313AF2B4D_.wvu.FilterData" localSheetId="7" hidden="1">MP_Jul.20!$B$6:$D$12</definedName>
    <definedName name="Z_E6B30169_F336_4F8B_8D4C_F48313AF2B4D_.wvu.FilterData" localSheetId="6" hidden="1">MP_Jun.20!$B$6:$D$12</definedName>
    <definedName name="Z_E6B30169_F336_4F8B_8D4C_F48313AF2B4D_.wvu.FilterData" localSheetId="5" hidden="1">MP_Mai.20!$B$6:$D$12</definedName>
    <definedName name="Z_E6B30169_F336_4F8B_8D4C_F48313AF2B4D_.wvu.FilterData" localSheetId="3" hidden="1">MP_Mar.20!$B$6:$D$12</definedName>
    <definedName name="Z_E6B30169_F336_4F8B_8D4C_F48313AF2B4D_.wvu.FilterData" localSheetId="11" hidden="1">MP_Nov.20!$B$6:$D$12</definedName>
    <definedName name="Z_E6B30169_F336_4F8B_8D4C_F48313AF2B4D_.wvu.FilterData" localSheetId="10" hidden="1">MP_Out.20!$B$6:$D$12</definedName>
    <definedName name="Z_E6B30169_F336_4F8B_8D4C_F48313AF2B4D_.wvu.FilterData" localSheetId="9" hidden="1">MP_Set.20!$B$6:$D$12</definedName>
    <definedName name="Z_E75D1A4B_F6A4_43E9_BC3C_D585E17FF374_.wvu.FilterData" localSheetId="4" hidden="1">MP_Abr.20!$B$6:$D$12</definedName>
    <definedName name="Z_E75D1A4B_F6A4_43E9_BC3C_D585E17FF374_.wvu.FilterData" localSheetId="8" hidden="1">MP_Ago.20!$B$6:$D$12</definedName>
    <definedName name="Z_E75D1A4B_F6A4_43E9_BC3C_D585E17FF374_.wvu.FilterData" localSheetId="12" hidden="1">MP_Dez.20!$B$6:$D$12</definedName>
    <definedName name="Z_E75D1A4B_F6A4_43E9_BC3C_D585E17FF374_.wvu.FilterData" localSheetId="2" hidden="1">MP_Fev.20!$B$6:$D$12</definedName>
    <definedName name="Z_E75D1A4B_F6A4_43E9_BC3C_D585E17FF374_.wvu.FilterData" localSheetId="1" hidden="1">MP_Jan.20!$B$6:$D$12</definedName>
    <definedName name="Z_E75D1A4B_F6A4_43E9_BC3C_D585E17FF374_.wvu.FilterData" localSheetId="7" hidden="1">MP_Jul.20!$B$6:$D$12</definedName>
    <definedName name="Z_E75D1A4B_F6A4_43E9_BC3C_D585E17FF374_.wvu.FilterData" localSheetId="6" hidden="1">MP_Jun.20!$B$6:$D$12</definedName>
    <definedName name="Z_E75D1A4B_F6A4_43E9_BC3C_D585E17FF374_.wvu.FilterData" localSheetId="5" hidden="1">MP_Mai.20!$B$6:$D$12</definedName>
    <definedName name="Z_E75D1A4B_F6A4_43E9_BC3C_D585E17FF374_.wvu.FilterData" localSheetId="3" hidden="1">MP_Mar.20!$B$6:$D$12</definedName>
    <definedName name="Z_E75D1A4B_F6A4_43E9_BC3C_D585E17FF374_.wvu.FilterData" localSheetId="11" hidden="1">MP_Nov.20!$B$6:$D$12</definedName>
    <definedName name="Z_E75D1A4B_F6A4_43E9_BC3C_D585E17FF374_.wvu.FilterData" localSheetId="10" hidden="1">MP_Out.20!$B$6:$D$12</definedName>
    <definedName name="Z_E75D1A4B_F6A4_43E9_BC3C_D585E17FF374_.wvu.FilterData" localSheetId="9" hidden="1">MP_Set.20!$B$6:$D$12</definedName>
    <definedName name="Z_E75D1A4B_F6A4_43E9_BC3C_D585E17FF374_.wvu.FilterData" localSheetId="0" hidden="1">'USO ANUAL'!$C$8:$E$12</definedName>
    <definedName name="Z_EA1E9057_25B0_4457_8283_417E06BAD910_.wvu.FilterData" localSheetId="4" hidden="1">MP_Abr.20!$B$6:$D$12</definedName>
    <definedName name="Z_EA1E9057_25B0_4457_8283_417E06BAD910_.wvu.FilterData" localSheetId="8" hidden="1">MP_Ago.20!$B$6:$D$12</definedName>
    <definedName name="Z_EA1E9057_25B0_4457_8283_417E06BAD910_.wvu.FilterData" localSheetId="12" hidden="1">MP_Dez.20!$B$6:$D$12</definedName>
    <definedName name="Z_EA1E9057_25B0_4457_8283_417E06BAD910_.wvu.FilterData" localSheetId="2" hidden="1">MP_Fev.20!$B$6:$D$12</definedName>
    <definedName name="Z_EA1E9057_25B0_4457_8283_417E06BAD910_.wvu.FilterData" localSheetId="1" hidden="1">MP_Jan.20!$B$6:$D$12</definedName>
    <definedName name="Z_EA1E9057_25B0_4457_8283_417E06BAD910_.wvu.FilterData" localSheetId="7" hidden="1">MP_Jul.20!$B$6:$D$12</definedName>
    <definedName name="Z_EA1E9057_25B0_4457_8283_417E06BAD910_.wvu.FilterData" localSheetId="6" hidden="1">MP_Jun.20!$B$6:$D$12</definedName>
    <definedName name="Z_EA1E9057_25B0_4457_8283_417E06BAD910_.wvu.FilterData" localSheetId="5" hidden="1">MP_Mai.20!$B$6:$D$12</definedName>
    <definedName name="Z_EA1E9057_25B0_4457_8283_417E06BAD910_.wvu.FilterData" localSheetId="3" hidden="1">MP_Mar.20!$B$6:$D$12</definedName>
    <definedName name="Z_EA1E9057_25B0_4457_8283_417E06BAD910_.wvu.FilterData" localSheetId="11" hidden="1">MP_Nov.20!$B$6:$D$12</definedName>
    <definedName name="Z_EA1E9057_25B0_4457_8283_417E06BAD910_.wvu.FilterData" localSheetId="10" hidden="1">MP_Out.20!$B$6:$D$12</definedName>
    <definedName name="Z_EA1E9057_25B0_4457_8283_417E06BAD910_.wvu.FilterData" localSheetId="9" hidden="1">MP_Set.20!$B$6:$D$12</definedName>
    <definedName name="Z_EA1E9057_25B0_4457_8283_417E06BAD910_.wvu.FilterData" localSheetId="0" hidden="1">'USO ANUAL'!$C$8:$E$12</definedName>
    <definedName name="Z_EB65B16F_3EA6_4AE6_B060_27D13D6A351D_.wvu.FilterData" localSheetId="4" hidden="1">MP_Abr.20!$B$6:$D$12</definedName>
    <definedName name="Z_EB65B16F_3EA6_4AE6_B060_27D13D6A351D_.wvu.FilterData" localSheetId="8" hidden="1">MP_Ago.20!$B$6:$D$12</definedName>
    <definedName name="Z_EB65B16F_3EA6_4AE6_B060_27D13D6A351D_.wvu.FilterData" localSheetId="12" hidden="1">MP_Dez.20!$B$6:$D$12</definedName>
    <definedName name="Z_EB65B16F_3EA6_4AE6_B060_27D13D6A351D_.wvu.FilterData" localSheetId="2" hidden="1">MP_Fev.20!$B$6:$D$12</definedName>
    <definedName name="Z_EB65B16F_3EA6_4AE6_B060_27D13D6A351D_.wvu.FilterData" localSheetId="1" hidden="1">MP_Jan.20!$B$6:$D$12</definedName>
    <definedName name="Z_EB65B16F_3EA6_4AE6_B060_27D13D6A351D_.wvu.FilterData" localSheetId="7" hidden="1">MP_Jul.20!$B$6:$D$12</definedName>
    <definedName name="Z_EB65B16F_3EA6_4AE6_B060_27D13D6A351D_.wvu.FilterData" localSheetId="6" hidden="1">MP_Jun.20!$B$6:$D$12</definedName>
    <definedName name="Z_EB65B16F_3EA6_4AE6_B060_27D13D6A351D_.wvu.FilterData" localSheetId="5" hidden="1">MP_Mai.20!$B$6:$D$12</definedName>
    <definedName name="Z_EB65B16F_3EA6_4AE6_B060_27D13D6A351D_.wvu.FilterData" localSheetId="3" hidden="1">MP_Mar.20!$B$6:$D$12</definedName>
    <definedName name="Z_EB65B16F_3EA6_4AE6_B060_27D13D6A351D_.wvu.FilterData" localSheetId="11" hidden="1">MP_Nov.20!$B$6:$D$12</definedName>
    <definedName name="Z_EB65B16F_3EA6_4AE6_B060_27D13D6A351D_.wvu.FilterData" localSheetId="10" hidden="1">MP_Out.20!$B$6:$D$12</definedName>
    <definedName name="Z_EB65B16F_3EA6_4AE6_B060_27D13D6A351D_.wvu.FilterData" localSheetId="9" hidden="1">MP_Set.20!$B$6:$D$12</definedName>
    <definedName name="Z_ECAF7D27_5E52_4793_B1EE_3A68B3279B35_.wvu.FilterData" localSheetId="4" hidden="1">MP_Abr.20!$B$6:$D$12</definedName>
    <definedName name="Z_ECAF7D27_5E52_4793_B1EE_3A68B3279B35_.wvu.FilterData" localSheetId="8" hidden="1">MP_Ago.20!$B$6:$D$12</definedName>
    <definedName name="Z_ECAF7D27_5E52_4793_B1EE_3A68B3279B35_.wvu.FilterData" localSheetId="12" hidden="1">MP_Dez.20!$B$6:$D$12</definedName>
    <definedName name="Z_ECAF7D27_5E52_4793_B1EE_3A68B3279B35_.wvu.FilterData" localSheetId="2" hidden="1">MP_Fev.20!$B$6:$D$12</definedName>
    <definedName name="Z_ECAF7D27_5E52_4793_B1EE_3A68B3279B35_.wvu.FilterData" localSheetId="1" hidden="1">MP_Jan.20!$B$6:$D$12</definedName>
    <definedName name="Z_ECAF7D27_5E52_4793_B1EE_3A68B3279B35_.wvu.FilterData" localSheetId="7" hidden="1">MP_Jul.20!$B$6:$D$12</definedName>
    <definedName name="Z_ECAF7D27_5E52_4793_B1EE_3A68B3279B35_.wvu.FilterData" localSheetId="6" hidden="1">MP_Jun.20!$B$6:$D$12</definedName>
    <definedName name="Z_ECAF7D27_5E52_4793_B1EE_3A68B3279B35_.wvu.FilterData" localSheetId="5" hidden="1">MP_Mai.20!$B$6:$D$12</definedName>
    <definedName name="Z_ECAF7D27_5E52_4793_B1EE_3A68B3279B35_.wvu.FilterData" localSheetId="3" hidden="1">MP_Mar.20!$B$6:$D$12</definedName>
    <definedName name="Z_ECAF7D27_5E52_4793_B1EE_3A68B3279B35_.wvu.FilterData" localSheetId="11" hidden="1">MP_Nov.20!$B$6:$D$12</definedName>
    <definedName name="Z_ECAF7D27_5E52_4793_B1EE_3A68B3279B35_.wvu.FilterData" localSheetId="10" hidden="1">MP_Out.20!$B$6:$D$12</definedName>
    <definedName name="Z_ECAF7D27_5E52_4793_B1EE_3A68B3279B35_.wvu.FilterData" localSheetId="9" hidden="1">MP_Set.20!$B$6:$D$12</definedName>
    <definedName name="Z_ECAF7D27_5E52_4793_B1EE_3A68B3279B35_.wvu.FilterData" localSheetId="0" hidden="1">'USO ANUAL'!$C$8:$E$12</definedName>
    <definedName name="Z_ECAF7D27_5E52_4793_B1EE_3A68B3279B35_.wvu.Rows" localSheetId="4" hidden="1">MP_Abr.20!#REF!</definedName>
    <definedName name="Z_ECAF7D27_5E52_4793_B1EE_3A68B3279B35_.wvu.Rows" localSheetId="8" hidden="1">MP_Ago.20!#REF!</definedName>
    <definedName name="Z_ECAF7D27_5E52_4793_B1EE_3A68B3279B35_.wvu.Rows" localSheetId="12" hidden="1">MP_Dez.20!#REF!</definedName>
    <definedName name="Z_ECAF7D27_5E52_4793_B1EE_3A68B3279B35_.wvu.Rows" localSheetId="2" hidden="1">MP_Fev.20!#REF!</definedName>
    <definedName name="Z_ECAF7D27_5E52_4793_B1EE_3A68B3279B35_.wvu.Rows" localSheetId="1" hidden="1">MP_Jan.20!#REF!</definedName>
    <definedName name="Z_ECAF7D27_5E52_4793_B1EE_3A68B3279B35_.wvu.Rows" localSheetId="7" hidden="1">MP_Jul.20!#REF!</definedName>
    <definedName name="Z_ECAF7D27_5E52_4793_B1EE_3A68B3279B35_.wvu.Rows" localSheetId="6" hidden="1">MP_Jun.20!#REF!</definedName>
    <definedName name="Z_ECAF7D27_5E52_4793_B1EE_3A68B3279B35_.wvu.Rows" localSheetId="5" hidden="1">MP_Mai.20!#REF!</definedName>
    <definedName name="Z_ECAF7D27_5E52_4793_B1EE_3A68B3279B35_.wvu.Rows" localSheetId="3" hidden="1">MP_Mar.20!#REF!</definedName>
    <definedName name="Z_ECAF7D27_5E52_4793_B1EE_3A68B3279B35_.wvu.Rows" localSheetId="11" hidden="1">MP_Nov.20!#REF!</definedName>
    <definedName name="Z_ECAF7D27_5E52_4793_B1EE_3A68B3279B35_.wvu.Rows" localSheetId="10" hidden="1">MP_Out.20!#REF!</definedName>
    <definedName name="Z_ECAF7D27_5E52_4793_B1EE_3A68B3279B35_.wvu.Rows" localSheetId="9" hidden="1">MP_Set.20!#REF!</definedName>
    <definedName name="Z_EFDDC186_DD29_41C7_A015_294D785B92B3_.wvu.FilterData" localSheetId="4" hidden="1">MP_Abr.20!$B$6:$D$12</definedName>
    <definedName name="Z_EFDDC186_DD29_41C7_A015_294D785B92B3_.wvu.FilterData" localSheetId="8" hidden="1">MP_Ago.20!$B$6:$D$12</definedName>
    <definedName name="Z_EFDDC186_DD29_41C7_A015_294D785B92B3_.wvu.FilterData" localSheetId="12" hidden="1">MP_Dez.20!$B$6:$D$12</definedName>
    <definedName name="Z_EFDDC186_DD29_41C7_A015_294D785B92B3_.wvu.FilterData" localSheetId="2" hidden="1">MP_Fev.20!$B$6:$D$12</definedName>
    <definedName name="Z_EFDDC186_DD29_41C7_A015_294D785B92B3_.wvu.FilterData" localSheetId="1" hidden="1">MP_Jan.20!$B$6:$D$12</definedName>
    <definedName name="Z_EFDDC186_DD29_41C7_A015_294D785B92B3_.wvu.FilterData" localSheetId="7" hidden="1">MP_Jul.20!$B$6:$D$12</definedName>
    <definedName name="Z_EFDDC186_DD29_41C7_A015_294D785B92B3_.wvu.FilterData" localSheetId="6" hidden="1">MP_Jun.20!$B$6:$D$12</definedName>
    <definedName name="Z_EFDDC186_DD29_41C7_A015_294D785B92B3_.wvu.FilterData" localSheetId="5" hidden="1">MP_Mai.20!$B$6:$D$12</definedName>
    <definedName name="Z_EFDDC186_DD29_41C7_A015_294D785B92B3_.wvu.FilterData" localSheetId="3" hidden="1">MP_Mar.20!$B$6:$D$12</definedName>
    <definedName name="Z_EFDDC186_DD29_41C7_A015_294D785B92B3_.wvu.FilterData" localSheetId="11" hidden="1">MP_Nov.20!$B$6:$D$12</definedName>
    <definedName name="Z_EFDDC186_DD29_41C7_A015_294D785B92B3_.wvu.FilterData" localSheetId="10" hidden="1">MP_Out.20!$B$6:$D$12</definedName>
    <definedName name="Z_EFDDC186_DD29_41C7_A015_294D785B92B3_.wvu.FilterData" localSheetId="9" hidden="1">MP_Set.20!$B$6:$D$12</definedName>
    <definedName name="Z_EFDDC186_DD29_41C7_A015_294D785B92B3_.wvu.FilterData" localSheetId="0" hidden="1">'USO ANUAL'!$C$8:$E$12</definedName>
    <definedName name="Z_EFDDC186_DD29_41C7_A015_294D785B92B3_.wvu.Rows" localSheetId="4" hidden="1">MP_Abr.20!#REF!</definedName>
    <definedName name="Z_EFDDC186_DD29_41C7_A015_294D785B92B3_.wvu.Rows" localSheetId="8" hidden="1">MP_Ago.20!#REF!</definedName>
    <definedName name="Z_EFDDC186_DD29_41C7_A015_294D785B92B3_.wvu.Rows" localSheetId="12" hidden="1">MP_Dez.20!#REF!</definedName>
    <definedName name="Z_EFDDC186_DD29_41C7_A015_294D785B92B3_.wvu.Rows" localSheetId="2" hidden="1">MP_Fev.20!#REF!</definedName>
    <definedName name="Z_EFDDC186_DD29_41C7_A015_294D785B92B3_.wvu.Rows" localSheetId="1" hidden="1">MP_Jan.20!#REF!</definedName>
    <definedName name="Z_EFDDC186_DD29_41C7_A015_294D785B92B3_.wvu.Rows" localSheetId="7" hidden="1">MP_Jul.20!#REF!</definedName>
    <definedName name="Z_EFDDC186_DD29_41C7_A015_294D785B92B3_.wvu.Rows" localSheetId="6" hidden="1">MP_Jun.20!#REF!</definedName>
    <definedName name="Z_EFDDC186_DD29_41C7_A015_294D785B92B3_.wvu.Rows" localSheetId="5" hidden="1">MP_Mai.20!#REF!</definedName>
    <definedName name="Z_EFDDC186_DD29_41C7_A015_294D785B92B3_.wvu.Rows" localSheetId="3" hidden="1">MP_Mar.20!#REF!</definedName>
    <definedName name="Z_EFDDC186_DD29_41C7_A015_294D785B92B3_.wvu.Rows" localSheetId="11" hidden="1">MP_Nov.20!#REF!</definedName>
    <definedName name="Z_EFDDC186_DD29_41C7_A015_294D785B92B3_.wvu.Rows" localSheetId="10" hidden="1">MP_Out.20!#REF!</definedName>
    <definedName name="Z_EFDDC186_DD29_41C7_A015_294D785B92B3_.wvu.Rows" localSheetId="9" hidden="1">MP_Set.20!#REF!</definedName>
    <definedName name="Z_EFE5060A_D9FC_4A71_B719_8D3BD69952CD_.wvu.FilterData" localSheetId="4" hidden="1">MP_Abr.20!$B$6:$D$12</definedName>
    <definedName name="Z_EFE5060A_D9FC_4A71_B719_8D3BD69952CD_.wvu.FilterData" localSheetId="8" hidden="1">MP_Ago.20!$B$6:$D$12</definedName>
    <definedName name="Z_EFE5060A_D9FC_4A71_B719_8D3BD69952CD_.wvu.FilterData" localSheetId="12" hidden="1">MP_Dez.20!$B$6:$D$12</definedName>
    <definedName name="Z_EFE5060A_D9FC_4A71_B719_8D3BD69952CD_.wvu.FilterData" localSheetId="2" hidden="1">MP_Fev.20!$B$6:$D$12</definedName>
    <definedName name="Z_EFE5060A_D9FC_4A71_B719_8D3BD69952CD_.wvu.FilterData" localSheetId="1" hidden="1">MP_Jan.20!$B$6:$D$12</definedName>
    <definedName name="Z_EFE5060A_D9FC_4A71_B719_8D3BD69952CD_.wvu.FilterData" localSheetId="7" hidden="1">MP_Jul.20!$B$6:$D$12</definedName>
    <definedName name="Z_EFE5060A_D9FC_4A71_B719_8D3BD69952CD_.wvu.FilterData" localSheetId="6" hidden="1">MP_Jun.20!$B$6:$D$12</definedName>
    <definedName name="Z_EFE5060A_D9FC_4A71_B719_8D3BD69952CD_.wvu.FilterData" localSheetId="5" hidden="1">MP_Mai.20!$B$6:$D$12</definedName>
    <definedName name="Z_EFE5060A_D9FC_4A71_B719_8D3BD69952CD_.wvu.FilterData" localSheetId="3" hidden="1">MP_Mar.20!$B$6:$D$12</definedName>
    <definedName name="Z_EFE5060A_D9FC_4A71_B719_8D3BD69952CD_.wvu.FilterData" localSheetId="11" hidden="1">MP_Nov.20!$B$6:$D$12</definedName>
    <definedName name="Z_EFE5060A_D9FC_4A71_B719_8D3BD69952CD_.wvu.FilterData" localSheetId="10" hidden="1">MP_Out.20!$B$6:$D$12</definedName>
    <definedName name="Z_EFE5060A_D9FC_4A71_B719_8D3BD69952CD_.wvu.FilterData" localSheetId="9" hidden="1">MP_Set.20!$B$6:$D$12</definedName>
    <definedName name="Z_EFE5060A_D9FC_4A71_B719_8D3BD69952CD_.wvu.FilterData" localSheetId="0" hidden="1">'USO ANUAL'!$C$8:$E$12</definedName>
    <definedName name="Z_EFE5060A_D9FC_4A71_B719_8D3BD69952CD_.wvu.Rows" localSheetId="4" hidden="1">MP_Abr.20!#REF!</definedName>
    <definedName name="Z_EFE5060A_D9FC_4A71_B719_8D3BD69952CD_.wvu.Rows" localSheetId="8" hidden="1">MP_Ago.20!#REF!</definedName>
    <definedName name="Z_EFE5060A_D9FC_4A71_B719_8D3BD69952CD_.wvu.Rows" localSheetId="12" hidden="1">MP_Dez.20!#REF!</definedName>
    <definedName name="Z_EFE5060A_D9FC_4A71_B719_8D3BD69952CD_.wvu.Rows" localSheetId="2" hidden="1">MP_Fev.20!#REF!</definedName>
    <definedName name="Z_EFE5060A_D9FC_4A71_B719_8D3BD69952CD_.wvu.Rows" localSheetId="1" hidden="1">MP_Jan.20!#REF!</definedName>
    <definedName name="Z_EFE5060A_D9FC_4A71_B719_8D3BD69952CD_.wvu.Rows" localSheetId="7" hidden="1">MP_Jul.20!#REF!</definedName>
    <definedName name="Z_EFE5060A_D9FC_4A71_B719_8D3BD69952CD_.wvu.Rows" localSheetId="6" hidden="1">MP_Jun.20!#REF!</definedName>
    <definedName name="Z_EFE5060A_D9FC_4A71_B719_8D3BD69952CD_.wvu.Rows" localSheetId="5" hidden="1">MP_Mai.20!#REF!</definedName>
    <definedName name="Z_EFE5060A_D9FC_4A71_B719_8D3BD69952CD_.wvu.Rows" localSheetId="3" hidden="1">MP_Mar.20!#REF!</definedName>
    <definedName name="Z_EFE5060A_D9FC_4A71_B719_8D3BD69952CD_.wvu.Rows" localSheetId="11" hidden="1">MP_Nov.20!#REF!</definedName>
    <definedName name="Z_EFE5060A_D9FC_4A71_B719_8D3BD69952CD_.wvu.Rows" localSheetId="10" hidden="1">MP_Out.20!#REF!</definedName>
    <definedName name="Z_EFE5060A_D9FC_4A71_B719_8D3BD69952CD_.wvu.Rows" localSheetId="9" hidden="1">MP_Set.20!#REF!</definedName>
    <definedName name="Z_F3DE0B69_E0F7_4D97_83AE_F1F8589296C9_.wvu.FilterData" localSheetId="4" hidden="1">MP_Abr.20!$B$6:$D$12</definedName>
    <definedName name="Z_F3DE0B69_E0F7_4D97_83AE_F1F8589296C9_.wvu.FilterData" localSheetId="8" hidden="1">MP_Ago.20!$B$6:$D$12</definedName>
    <definedName name="Z_F3DE0B69_E0F7_4D97_83AE_F1F8589296C9_.wvu.FilterData" localSheetId="12" hidden="1">MP_Dez.20!$B$6:$D$12</definedName>
    <definedName name="Z_F3DE0B69_E0F7_4D97_83AE_F1F8589296C9_.wvu.FilterData" localSheetId="2" hidden="1">MP_Fev.20!$B$6:$D$12</definedName>
    <definedName name="Z_F3DE0B69_E0F7_4D97_83AE_F1F8589296C9_.wvu.FilterData" localSheetId="1" hidden="1">MP_Jan.20!$B$6:$D$12</definedName>
    <definedName name="Z_F3DE0B69_E0F7_4D97_83AE_F1F8589296C9_.wvu.FilterData" localSheetId="7" hidden="1">MP_Jul.20!$B$6:$D$12</definedName>
    <definedName name="Z_F3DE0B69_E0F7_4D97_83AE_F1F8589296C9_.wvu.FilterData" localSheetId="6" hidden="1">MP_Jun.20!$B$6:$D$12</definedName>
    <definedName name="Z_F3DE0B69_E0F7_4D97_83AE_F1F8589296C9_.wvu.FilterData" localSheetId="5" hidden="1">MP_Mai.20!$B$6:$D$12</definedName>
    <definedName name="Z_F3DE0B69_E0F7_4D97_83AE_F1F8589296C9_.wvu.FilterData" localSheetId="3" hidden="1">MP_Mar.20!$B$6:$D$12</definedName>
    <definedName name="Z_F3DE0B69_E0F7_4D97_83AE_F1F8589296C9_.wvu.FilterData" localSheetId="11" hidden="1">MP_Nov.20!$B$6:$D$12</definedName>
    <definedName name="Z_F3DE0B69_E0F7_4D97_83AE_F1F8589296C9_.wvu.FilterData" localSheetId="10" hidden="1">MP_Out.20!$B$6:$D$12</definedName>
    <definedName name="Z_F3DE0B69_E0F7_4D97_83AE_F1F8589296C9_.wvu.FilterData" localSheetId="9" hidden="1">MP_Set.20!$B$6:$D$12</definedName>
    <definedName name="Z_F3DE0B69_E0F7_4D97_83AE_F1F8589296C9_.wvu.FilterData" localSheetId="0" hidden="1">'USO ANUAL'!$C$8:$E$12</definedName>
    <definedName name="Z_F3DE0B69_E0F7_4D97_83AE_F1F8589296C9_.wvu.Rows" localSheetId="4" hidden="1">MP_Abr.20!#REF!</definedName>
    <definedName name="Z_F3DE0B69_E0F7_4D97_83AE_F1F8589296C9_.wvu.Rows" localSheetId="8" hidden="1">MP_Ago.20!#REF!</definedName>
    <definedName name="Z_F3DE0B69_E0F7_4D97_83AE_F1F8589296C9_.wvu.Rows" localSheetId="12" hidden="1">MP_Dez.20!#REF!</definedName>
    <definedName name="Z_F3DE0B69_E0F7_4D97_83AE_F1F8589296C9_.wvu.Rows" localSheetId="2" hidden="1">MP_Fev.20!#REF!</definedName>
    <definedName name="Z_F3DE0B69_E0F7_4D97_83AE_F1F8589296C9_.wvu.Rows" localSheetId="1" hidden="1">MP_Jan.20!#REF!</definedName>
    <definedName name="Z_F3DE0B69_E0F7_4D97_83AE_F1F8589296C9_.wvu.Rows" localSheetId="7" hidden="1">MP_Jul.20!#REF!</definedName>
    <definedName name="Z_F3DE0B69_E0F7_4D97_83AE_F1F8589296C9_.wvu.Rows" localSheetId="6" hidden="1">MP_Jun.20!#REF!</definedName>
    <definedName name="Z_F3DE0B69_E0F7_4D97_83AE_F1F8589296C9_.wvu.Rows" localSheetId="5" hidden="1">MP_Mai.20!#REF!</definedName>
    <definedName name="Z_F3DE0B69_E0F7_4D97_83AE_F1F8589296C9_.wvu.Rows" localSheetId="3" hidden="1">MP_Mar.20!#REF!</definedName>
    <definedName name="Z_F3DE0B69_E0F7_4D97_83AE_F1F8589296C9_.wvu.Rows" localSheetId="11" hidden="1">MP_Nov.20!#REF!</definedName>
    <definedName name="Z_F3DE0B69_E0F7_4D97_83AE_F1F8589296C9_.wvu.Rows" localSheetId="10" hidden="1">MP_Out.20!#REF!</definedName>
    <definedName name="Z_F3DE0B69_E0F7_4D97_83AE_F1F8589296C9_.wvu.Rows" localSheetId="9" hidden="1">MP_Set.20!#REF!</definedName>
    <definedName name="Z_FA7B5DDB_F8C6_48B0_BF01_F7DE9F5AAE96_.wvu.FilterData" localSheetId="4" hidden="1">MP_Abr.20!$B$6:$D$12</definedName>
    <definedName name="Z_FA7B5DDB_F8C6_48B0_BF01_F7DE9F5AAE96_.wvu.FilterData" localSheetId="8" hidden="1">MP_Ago.20!$B$6:$D$12</definedName>
    <definedName name="Z_FA7B5DDB_F8C6_48B0_BF01_F7DE9F5AAE96_.wvu.FilterData" localSheetId="12" hidden="1">MP_Dez.20!$B$6:$D$12</definedName>
    <definedName name="Z_FA7B5DDB_F8C6_48B0_BF01_F7DE9F5AAE96_.wvu.FilterData" localSheetId="2" hidden="1">MP_Fev.20!$B$6:$D$12</definedName>
    <definedName name="Z_FA7B5DDB_F8C6_48B0_BF01_F7DE9F5AAE96_.wvu.FilterData" localSheetId="1" hidden="1">MP_Jan.20!$B$6:$D$12</definedName>
    <definedName name="Z_FA7B5DDB_F8C6_48B0_BF01_F7DE9F5AAE96_.wvu.FilterData" localSheetId="7" hidden="1">MP_Jul.20!$B$6:$D$12</definedName>
    <definedName name="Z_FA7B5DDB_F8C6_48B0_BF01_F7DE9F5AAE96_.wvu.FilterData" localSheetId="6" hidden="1">MP_Jun.20!$B$6:$D$12</definedName>
    <definedName name="Z_FA7B5DDB_F8C6_48B0_BF01_F7DE9F5AAE96_.wvu.FilterData" localSheetId="5" hidden="1">MP_Mai.20!$B$6:$D$12</definedName>
    <definedName name="Z_FA7B5DDB_F8C6_48B0_BF01_F7DE9F5AAE96_.wvu.FilterData" localSheetId="3" hidden="1">MP_Mar.20!$B$6:$D$12</definedName>
    <definedName name="Z_FA7B5DDB_F8C6_48B0_BF01_F7DE9F5AAE96_.wvu.FilterData" localSheetId="11" hidden="1">MP_Nov.20!$B$6:$D$12</definedName>
    <definedName name="Z_FA7B5DDB_F8C6_48B0_BF01_F7DE9F5AAE96_.wvu.FilterData" localSheetId="10" hidden="1">MP_Out.20!$B$6:$D$12</definedName>
    <definedName name="Z_FA7B5DDB_F8C6_48B0_BF01_F7DE9F5AAE96_.wvu.FilterData" localSheetId="9" hidden="1">MP_Set.20!$B$6:$D$12</definedName>
    <definedName name="Z_FA7B5DDB_F8C6_48B0_BF01_F7DE9F5AAE96_.wvu.FilterData" localSheetId="0" hidden="1">'USO ANUAL'!$C$8:$E$12</definedName>
    <definedName name="Z_FA7B5DDB_F8C6_48B0_BF01_F7DE9F5AAE96_.wvu.Rows" localSheetId="4" hidden="1">MP_Abr.20!#REF!</definedName>
    <definedName name="Z_FA7B5DDB_F8C6_48B0_BF01_F7DE9F5AAE96_.wvu.Rows" localSheetId="8" hidden="1">MP_Ago.20!#REF!</definedName>
    <definedName name="Z_FA7B5DDB_F8C6_48B0_BF01_F7DE9F5AAE96_.wvu.Rows" localSheetId="12" hidden="1">MP_Dez.20!#REF!</definedName>
    <definedName name="Z_FA7B5DDB_F8C6_48B0_BF01_F7DE9F5AAE96_.wvu.Rows" localSheetId="2" hidden="1">MP_Fev.20!#REF!</definedName>
    <definedName name="Z_FA7B5DDB_F8C6_48B0_BF01_F7DE9F5AAE96_.wvu.Rows" localSheetId="1" hidden="1">MP_Jan.20!#REF!</definedName>
    <definedName name="Z_FA7B5DDB_F8C6_48B0_BF01_F7DE9F5AAE96_.wvu.Rows" localSheetId="7" hidden="1">MP_Jul.20!#REF!</definedName>
    <definedName name="Z_FA7B5DDB_F8C6_48B0_BF01_F7DE9F5AAE96_.wvu.Rows" localSheetId="6" hidden="1">MP_Jun.20!#REF!</definedName>
    <definedName name="Z_FA7B5DDB_F8C6_48B0_BF01_F7DE9F5AAE96_.wvu.Rows" localSheetId="5" hidden="1">MP_Mai.20!#REF!</definedName>
    <definedName name="Z_FA7B5DDB_F8C6_48B0_BF01_F7DE9F5AAE96_.wvu.Rows" localSheetId="3" hidden="1">MP_Mar.20!#REF!</definedName>
    <definedName name="Z_FA7B5DDB_F8C6_48B0_BF01_F7DE9F5AAE96_.wvu.Rows" localSheetId="11" hidden="1">MP_Nov.20!#REF!</definedName>
    <definedName name="Z_FA7B5DDB_F8C6_48B0_BF01_F7DE9F5AAE96_.wvu.Rows" localSheetId="10" hidden="1">MP_Out.20!#REF!</definedName>
    <definedName name="Z_FA7B5DDB_F8C6_48B0_BF01_F7DE9F5AAE96_.wvu.Rows" localSheetId="9" hidden="1">MP_Set.20!#REF!</definedName>
  </definedNames>
  <calcPr calcId="162913"/>
  <customWorkbookViews>
    <customWorkbookView name="Anderson Luigi Luiz - Modo de exibição pessoal" guid="{1E4C9977-CDC2-47DA-8360-1A4470857937}" mergeInterval="0" personalView="1" maximized="1" windowWidth="1916" windowHeight="855" activeSheetId="2"/>
    <customWorkbookView name="Tanio Cezar Santos Pereira - Modo de exibição pessoal" guid="{287A9710-F224-4DCC-92E7-79CAACB58A82}" mergeInterval="0" personalView="1" maximized="1" windowWidth="1916" windowHeight="855" activeSheetId="1"/>
    <customWorkbookView name="Flavia De Figueiredo Felippe Crivelenti - Modo de exibição pessoal" guid="{A3E93A13-6580-4EF4-A4F4-77F167CF62A1}" mergeInterval="0" personalView="1" maximized="1" windowWidth="1916" windowHeight="855" activeSheetId="5"/>
    <customWorkbookView name="Bruno Vinicius Lopes de Oliveira Francisco - Modo de exibição pessoal" guid="{3D2989F4-92E8-478F-9E1D-CB2A41F86DEF}" mergeInterval="0" personalView="1" maximized="1" windowWidth="1916" windowHeight="855" activeSheetId="4"/>
    <customWorkbookView name="Filipi Jose Silva De Assis - Modo de exibição pessoal" guid="{6A9C14BD-D812-4690-9856-B0A58DFCA856}" mergeInterval="0" personalView="1" maximized="1" windowWidth="1916" windowHeight="855" activeSheetId="5"/>
    <customWorkbookView name="Ramon Aparecido Dos Santos Brandao - Modo de exibição pessoal" guid="{0D234563-961F-4340-A7C2-B1B00F1A986F}" mergeInterval="0" personalView="1" maximized="1" windowWidth="1916" windowHeight="835" activeSheetId="5"/>
    <customWorkbookView name="Isadora Silva Batista Rosa - Modo de exibição pessoal" guid="{234CA469-B348-488A-9050-070FD2EA4F92}" mergeInterval="0" personalView="1" maximized="1" windowWidth="1020" windowHeight="543" activeSheetId="5"/>
    <customWorkbookView name="Cesar Rodrigues Bertoli - Modo de exibição pessoal" guid="{A120A56F-B6C5-411F-8482-438AA4BED783}" mergeInterval="0" personalView="1" maximized="1" windowWidth="1916" windowHeight="855" activeSheetId="2"/>
    <customWorkbookView name="Rita De Cassia Elias De Oliveira - Modo de exibição pessoal" guid="{FA7B5DDB-F8C6-48B0-BF01-F7DE9F5AAE96}" mergeInterval="0" personalView="1" maximized="1" windowWidth="1916" windowHeight="855" activeSheetId="5"/>
    <customWorkbookView name="Juliano Inocente - Modo de exibição pessoal" guid="{EA1E9057-25B0-4457-8283-417E06BAD910}" mergeInterval="0" personalView="1" maximized="1" windowWidth="1362" windowHeight="503" activeSheetId="5"/>
    <customWorkbookView name="Alana Dos Reis Figueiredo - Modo de exibição pessoal" guid="{4BACAB9D-CA8C-42C5-974B-6E3240B85042}" mergeInterval="0" personalView="1" maximized="1" windowWidth="1916" windowHeight="807" activeSheetId="4"/>
    <customWorkbookView name="Ana Paula Ferranti Peti - Modo de exibição pessoal" guid="{78977BDA-7BC3-48D5-902B-805B2FEDB45E}" mergeInterval="0" personalView="1" maximized="1" windowWidth="1596" windowHeight="675" activeSheetId="4"/>
    <customWorkbookView name="Celso Da Silva - Modo de exibição pessoal" guid="{B38B8808-E606-40E6-B441-1BC7235E6DC1}" mergeInterval="0" personalView="1" maximized="1" windowWidth="1121" windowHeight="543" activeSheetId="1"/>
    <customWorkbookView name="Gabriel Primini Feltran - Modo de exibição pessoal" guid="{660C4B08-3535-480E-8354-4040D10FDF58}" mergeInterval="0" personalView="1" maximized="1" windowWidth="1916" windowHeight="855" activeSheetId="1"/>
    <customWorkbookView name="Samuel Lopes Adao - Modo de exibição pessoal" guid="{E75D1A4B-F6A4-43E9-BC3C-D585E17FF374}" mergeInterval="0" personalView="1" maximized="1" windowWidth="1916" windowHeight="815" activeSheetId="2"/>
    <customWorkbookView name="Fernando Henrique Martins - Modo de exibição pessoal" guid="{C9158A86-6947-4114-90BA-0088DCE68930}" mergeInterval="0" personalView="1" maximized="1" windowWidth="1916" windowHeight="855" activeSheetId="3"/>
    <customWorkbookView name="Ricieri Omar Bandeira - Modo de exibição pessoal" guid="{B156E80A-C1F3-433F-99B4-E8296E36DB3B}" mergeInterval="0" personalView="1" maximized="1" windowWidth="1916" windowHeight="855" activeSheetId="1"/>
    <customWorkbookView name="Bruno Della Torre De Almeida - Modo de exibição pessoal" guid="{70F554AA-3084-451F-A981-EDDA33142170}" mergeInterval="0" personalView="1" maximized="1" windowWidth="1916" windowHeight="855" activeSheetId="2"/>
    <customWorkbookView name="Murilo Cesar Correa - Modo de exibição pessoal" guid="{76CF81FB-8C12-4F24-A411-E8C9C288A8CD}" mergeInterval="0" personalView="1" maximized="1" windowWidth="1916" windowHeight="855" activeSheetId="5"/>
    <customWorkbookView name="Rafael Jun Dos Santos Umezu - Modo de exibição pessoal" guid="{C514F366-F7A3-4F20-B2E3-992AA09FAEF9}" mergeInterval="0" personalView="1" maximized="1" windowWidth="1916" windowHeight="855" activeSheetId="2"/>
    <customWorkbookView name="Liliane Goncalves Cirqueira - Modo de exibição pessoal" guid="{96804FD3-42F0-4175-B0A8-ACF3D4DD17DB}" mergeInterval="0" personalView="1" maximized="1" windowWidth="1350" windowHeight="527" activeSheetId="2"/>
  </customWorkbookViews>
  <fileRecoveryPr autoRecover="0"/>
</workbook>
</file>

<file path=xl/calcChain.xml><?xml version="1.0" encoding="utf-8"?>
<calcChain xmlns="http://schemas.openxmlformats.org/spreadsheetml/2006/main">
  <c r="A25" i="4" l="1"/>
  <c r="A26" i="4"/>
  <c r="A27" i="4" s="1"/>
  <c r="A28" i="4" s="1"/>
  <c r="A29" i="4" s="1"/>
  <c r="A30" i="4" s="1"/>
  <c r="A31" i="4" s="1"/>
  <c r="A32" i="4" s="1"/>
  <c r="A33" i="4" s="1"/>
  <c r="A34" i="4" s="1"/>
  <c r="A24" i="4"/>
  <c r="CG17" i="4"/>
  <c r="CF17" i="4"/>
  <c r="CE17" i="4"/>
  <c r="CD17" i="4"/>
  <c r="CC17" i="4"/>
  <c r="CB17" i="4"/>
  <c r="CG16" i="4"/>
  <c r="CF16" i="4"/>
  <c r="CE16" i="4"/>
  <c r="CD16" i="4"/>
  <c r="CC16" i="4"/>
  <c r="CB16" i="4"/>
  <c r="CG15" i="4"/>
  <c r="CF15" i="4"/>
  <c r="CE15" i="4"/>
  <c r="CD15" i="4"/>
  <c r="CC15" i="4"/>
  <c r="CB15" i="4"/>
  <c r="CG14" i="4"/>
  <c r="CF14" i="4"/>
  <c r="CE14" i="4"/>
  <c r="CD14" i="4"/>
  <c r="CC14" i="4"/>
  <c r="CB14" i="4"/>
  <c r="CG13" i="4"/>
  <c r="CF13" i="4"/>
  <c r="CE13" i="4"/>
  <c r="CD13" i="4"/>
  <c r="CC13" i="4"/>
  <c r="CB13" i="4"/>
  <c r="CG12" i="4"/>
  <c r="CF12" i="4"/>
  <c r="CE12" i="4"/>
  <c r="CD12" i="4"/>
  <c r="CC12" i="4"/>
  <c r="CB12" i="4"/>
  <c r="CG11" i="4"/>
  <c r="CF11" i="4"/>
  <c r="CE11" i="4"/>
  <c r="CD11" i="4"/>
  <c r="CC11" i="4"/>
  <c r="CB11" i="4"/>
  <c r="CG10" i="4"/>
  <c r="CF10" i="4"/>
  <c r="CE10" i="4"/>
  <c r="CD10" i="4"/>
  <c r="CC10" i="4"/>
  <c r="CB10" i="4"/>
  <c r="CG9" i="4"/>
  <c r="CG20" i="4" s="1"/>
  <c r="CF9" i="4"/>
  <c r="CE9" i="4"/>
  <c r="CD9" i="4"/>
  <c r="CC9" i="4"/>
  <c r="CC20" i="4" s="1"/>
  <c r="CB9" i="4"/>
  <c r="CG8" i="4"/>
  <c r="CF8" i="4"/>
  <c r="CE8" i="4"/>
  <c r="CD8" i="4"/>
  <c r="CC8" i="4"/>
  <c r="CB8" i="4"/>
  <c r="CG7" i="4"/>
  <c r="CF7" i="4"/>
  <c r="CE7" i="4"/>
  <c r="CD7" i="4"/>
  <c r="CC7" i="4"/>
  <c r="CB7" i="4"/>
  <c r="BZ17" i="4"/>
  <c r="BY17" i="4"/>
  <c r="BX17" i="4"/>
  <c r="BW17" i="4"/>
  <c r="BV17" i="4"/>
  <c r="BU17" i="4"/>
  <c r="BZ16" i="4"/>
  <c r="BY16" i="4"/>
  <c r="BX16" i="4"/>
  <c r="BW16" i="4"/>
  <c r="BV16" i="4"/>
  <c r="BU16" i="4"/>
  <c r="BZ15" i="4"/>
  <c r="BY15" i="4"/>
  <c r="BX15" i="4"/>
  <c r="BW15" i="4"/>
  <c r="BV15" i="4"/>
  <c r="BU15" i="4"/>
  <c r="BZ14" i="4"/>
  <c r="BY14" i="4"/>
  <c r="BX14" i="4"/>
  <c r="BW14" i="4"/>
  <c r="BV14" i="4"/>
  <c r="BU14" i="4"/>
  <c r="BZ13" i="4"/>
  <c r="BY13" i="4"/>
  <c r="BX13" i="4"/>
  <c r="BW13" i="4"/>
  <c r="BV13" i="4"/>
  <c r="BU13" i="4"/>
  <c r="BZ12" i="4"/>
  <c r="BY12" i="4"/>
  <c r="BX12" i="4"/>
  <c r="BW12" i="4"/>
  <c r="BV12" i="4"/>
  <c r="BU12" i="4"/>
  <c r="BZ11" i="4"/>
  <c r="BY11" i="4"/>
  <c r="BX11" i="4"/>
  <c r="BW11" i="4"/>
  <c r="BV11" i="4"/>
  <c r="BU11" i="4"/>
  <c r="BZ10" i="4"/>
  <c r="BY10" i="4"/>
  <c r="BX10" i="4"/>
  <c r="BW10" i="4"/>
  <c r="BV10" i="4"/>
  <c r="BU10" i="4"/>
  <c r="BZ9" i="4"/>
  <c r="BZ20" i="4" s="1"/>
  <c r="BY9" i="4"/>
  <c r="BX9" i="4"/>
  <c r="BW9" i="4"/>
  <c r="BW20" i="4" s="1"/>
  <c r="BV9" i="4"/>
  <c r="BV20" i="4" s="1"/>
  <c r="BU9" i="4"/>
  <c r="BZ8" i="4"/>
  <c r="BY8" i="4"/>
  <c r="BX8" i="4"/>
  <c r="BW8" i="4"/>
  <c r="BV8" i="4"/>
  <c r="BU8" i="4"/>
  <c r="BZ7" i="4"/>
  <c r="BZ19" i="4" s="1"/>
  <c r="BY7" i="4"/>
  <c r="BY19" i="4" s="1"/>
  <c r="BX7" i="4"/>
  <c r="BW7" i="4"/>
  <c r="BV7" i="4"/>
  <c r="BU7" i="4"/>
  <c r="BS17" i="4"/>
  <c r="BR17" i="4"/>
  <c r="BQ17" i="4"/>
  <c r="BP17" i="4"/>
  <c r="BO17" i="4"/>
  <c r="BN17" i="4"/>
  <c r="BS16" i="4"/>
  <c r="BR16" i="4"/>
  <c r="BQ16" i="4"/>
  <c r="BP16" i="4"/>
  <c r="BO16" i="4"/>
  <c r="BO20" i="4" s="1"/>
  <c r="BN16" i="4"/>
  <c r="BS15" i="4"/>
  <c r="BR15" i="4"/>
  <c r="BQ15" i="4"/>
  <c r="BP15" i="4"/>
  <c r="BO15" i="4"/>
  <c r="BN15" i="4"/>
  <c r="BS14" i="4"/>
  <c r="BR14" i="4"/>
  <c r="BQ14" i="4"/>
  <c r="BP14" i="4"/>
  <c r="BO14" i="4"/>
  <c r="BN14" i="4"/>
  <c r="BS13" i="4"/>
  <c r="BR13" i="4"/>
  <c r="BQ13" i="4"/>
  <c r="BP13" i="4"/>
  <c r="BO13" i="4"/>
  <c r="BN13" i="4"/>
  <c r="BS12" i="4"/>
  <c r="BR12" i="4"/>
  <c r="BQ12" i="4"/>
  <c r="BP12" i="4"/>
  <c r="BO12" i="4"/>
  <c r="BN12" i="4"/>
  <c r="BS11" i="4"/>
  <c r="BR11" i="4"/>
  <c r="BQ11" i="4"/>
  <c r="BP11" i="4"/>
  <c r="BO11" i="4"/>
  <c r="BN11" i="4"/>
  <c r="BS10" i="4"/>
  <c r="BR10" i="4"/>
  <c r="BQ10" i="4"/>
  <c r="BP10" i="4"/>
  <c r="BO10" i="4"/>
  <c r="BN10" i="4"/>
  <c r="BS9" i="4"/>
  <c r="BR9" i="4"/>
  <c r="BQ9" i="4"/>
  <c r="BQ20" i="4" s="1"/>
  <c r="BP9" i="4"/>
  <c r="BO9" i="4"/>
  <c r="BN9" i="4"/>
  <c r="BS8" i="4"/>
  <c r="BR8" i="4"/>
  <c r="BQ8" i="4"/>
  <c r="BP8" i="4"/>
  <c r="BO8" i="4"/>
  <c r="BN8" i="4"/>
  <c r="BS7" i="4"/>
  <c r="BR7" i="4"/>
  <c r="BQ7" i="4"/>
  <c r="BP7" i="4"/>
  <c r="BO7" i="4"/>
  <c r="BN7" i="4"/>
  <c r="BL17" i="4"/>
  <c r="BK17" i="4"/>
  <c r="BJ17" i="4"/>
  <c r="BI17" i="4"/>
  <c r="BH17" i="4"/>
  <c r="BG17" i="4"/>
  <c r="BL16" i="4"/>
  <c r="BK16" i="4"/>
  <c r="BJ16" i="4"/>
  <c r="BI16" i="4"/>
  <c r="BH16" i="4"/>
  <c r="BG16" i="4"/>
  <c r="BL15" i="4"/>
  <c r="BK15" i="4"/>
  <c r="BJ15" i="4"/>
  <c r="BI15" i="4"/>
  <c r="BH15" i="4"/>
  <c r="BG15" i="4"/>
  <c r="BL14" i="4"/>
  <c r="BK14" i="4"/>
  <c r="BJ14" i="4"/>
  <c r="BI14" i="4"/>
  <c r="BH14" i="4"/>
  <c r="BG14" i="4"/>
  <c r="BL13" i="4"/>
  <c r="BK13" i="4"/>
  <c r="BJ13" i="4"/>
  <c r="BI13" i="4"/>
  <c r="BH13" i="4"/>
  <c r="BG13" i="4"/>
  <c r="BL12" i="4"/>
  <c r="BK12" i="4"/>
  <c r="BJ12" i="4"/>
  <c r="BI12" i="4"/>
  <c r="BH12" i="4"/>
  <c r="BG12" i="4"/>
  <c r="BL11" i="4"/>
  <c r="BK11" i="4"/>
  <c r="BJ11" i="4"/>
  <c r="BI11" i="4"/>
  <c r="BH11" i="4"/>
  <c r="BG11" i="4"/>
  <c r="BL10" i="4"/>
  <c r="BK10" i="4"/>
  <c r="BJ10" i="4"/>
  <c r="BI10" i="4"/>
  <c r="BH10" i="4"/>
  <c r="BG10" i="4"/>
  <c r="BL9" i="4"/>
  <c r="BK9" i="4"/>
  <c r="BJ9" i="4"/>
  <c r="BI9" i="4"/>
  <c r="BI20" i="4" s="1"/>
  <c r="BH9" i="4"/>
  <c r="BH20" i="4" s="1"/>
  <c r="BG9" i="4"/>
  <c r="BL8" i="4"/>
  <c r="BK8" i="4"/>
  <c r="BJ8" i="4"/>
  <c r="BI8" i="4"/>
  <c r="BH8" i="4"/>
  <c r="BG8" i="4"/>
  <c r="BL7" i="4"/>
  <c r="BL19" i="4" s="1"/>
  <c r="BK7" i="4"/>
  <c r="BJ7" i="4"/>
  <c r="BI7" i="4"/>
  <c r="BH7" i="4"/>
  <c r="BH19" i="4" s="1"/>
  <c r="BG7" i="4"/>
  <c r="BE17" i="4"/>
  <c r="BD17" i="4"/>
  <c r="BC17" i="4"/>
  <c r="BB17" i="4"/>
  <c r="BA17" i="4"/>
  <c r="AZ17" i="4"/>
  <c r="BE16" i="4"/>
  <c r="BD16" i="4"/>
  <c r="BC16" i="4"/>
  <c r="BB16" i="4"/>
  <c r="BA16" i="4"/>
  <c r="AZ16" i="4"/>
  <c r="BE15" i="4"/>
  <c r="BD15" i="4"/>
  <c r="BC15" i="4"/>
  <c r="BB15" i="4"/>
  <c r="BA15" i="4"/>
  <c r="AZ15" i="4"/>
  <c r="BE14" i="4"/>
  <c r="BD14" i="4"/>
  <c r="BC14" i="4"/>
  <c r="BB14" i="4"/>
  <c r="BA14" i="4"/>
  <c r="AZ14" i="4"/>
  <c r="BE13" i="4"/>
  <c r="BD13" i="4"/>
  <c r="BC13" i="4"/>
  <c r="BB13" i="4"/>
  <c r="BA13" i="4"/>
  <c r="AZ13" i="4"/>
  <c r="BE12" i="4"/>
  <c r="BD12" i="4"/>
  <c r="BC12" i="4"/>
  <c r="BB12" i="4"/>
  <c r="BA12" i="4"/>
  <c r="AZ12" i="4"/>
  <c r="BE11" i="4"/>
  <c r="BD11" i="4"/>
  <c r="BC11" i="4"/>
  <c r="BB11" i="4"/>
  <c r="BA11" i="4"/>
  <c r="AZ11" i="4"/>
  <c r="BE10" i="4"/>
  <c r="BD10" i="4"/>
  <c r="BC10" i="4"/>
  <c r="BB10" i="4"/>
  <c r="BA10" i="4"/>
  <c r="AZ10" i="4"/>
  <c r="BE9" i="4"/>
  <c r="BD9" i="4"/>
  <c r="BC9" i="4"/>
  <c r="BB9" i="4"/>
  <c r="BB20" i="4" s="1"/>
  <c r="BA9" i="4"/>
  <c r="AZ9" i="4"/>
  <c r="BE8" i="4"/>
  <c r="BD8" i="4"/>
  <c r="BD19" i="4" s="1"/>
  <c r="BC8" i="4"/>
  <c r="BB8" i="4"/>
  <c r="BA8" i="4"/>
  <c r="AZ8" i="4"/>
  <c r="AZ19" i="4" s="1"/>
  <c r="BE7" i="4"/>
  <c r="BD7" i="4"/>
  <c r="BC7" i="4"/>
  <c r="BB7" i="4"/>
  <c r="BB19" i="4" s="1"/>
  <c r="BA7" i="4"/>
  <c r="AZ7" i="4"/>
  <c r="AX17" i="4"/>
  <c r="AW17" i="4"/>
  <c r="AV17" i="4"/>
  <c r="AU17" i="4"/>
  <c r="AT17" i="4"/>
  <c r="AS17" i="4"/>
  <c r="AX16" i="4"/>
  <c r="AW16" i="4"/>
  <c r="AV16" i="4"/>
  <c r="AV20" i="4" s="1"/>
  <c r="AU16" i="4"/>
  <c r="AT16" i="4"/>
  <c r="AS16" i="4"/>
  <c r="AX15" i="4"/>
  <c r="AW15" i="4"/>
  <c r="AV15" i="4"/>
  <c r="AU15" i="4"/>
  <c r="AT15" i="4"/>
  <c r="AS15" i="4"/>
  <c r="AX14" i="4"/>
  <c r="AW14" i="4"/>
  <c r="AV14" i="4"/>
  <c r="AU14" i="4"/>
  <c r="AT14" i="4"/>
  <c r="AS14" i="4"/>
  <c r="AX13" i="4"/>
  <c r="AW13" i="4"/>
  <c r="AV13" i="4"/>
  <c r="AU13" i="4"/>
  <c r="AT13" i="4"/>
  <c r="AS13" i="4"/>
  <c r="AX12" i="4"/>
  <c r="AW12" i="4"/>
  <c r="AV12" i="4"/>
  <c r="AU12" i="4"/>
  <c r="AT12" i="4"/>
  <c r="AS12" i="4"/>
  <c r="AX11" i="4"/>
  <c r="AW11" i="4"/>
  <c r="AV11" i="4"/>
  <c r="AU11" i="4"/>
  <c r="AT11" i="4"/>
  <c r="AS11" i="4"/>
  <c r="AX10" i="4"/>
  <c r="AW10" i="4"/>
  <c r="AV10" i="4"/>
  <c r="AU10" i="4"/>
  <c r="AT10" i="4"/>
  <c r="AS10" i="4"/>
  <c r="AX9" i="4"/>
  <c r="AX20" i="4" s="1"/>
  <c r="AW9" i="4"/>
  <c r="AV9" i="4"/>
  <c r="AU9" i="4"/>
  <c r="AU20" i="4" s="1"/>
  <c r="AT9" i="4"/>
  <c r="AT20" i="4" s="1"/>
  <c r="AS9" i="4"/>
  <c r="AX8" i="4"/>
  <c r="AW8" i="4"/>
  <c r="AV8" i="4"/>
  <c r="AV19" i="4" s="1"/>
  <c r="AU8" i="4"/>
  <c r="AT8" i="4"/>
  <c r="AS8" i="4"/>
  <c r="AX7" i="4"/>
  <c r="AW7" i="4"/>
  <c r="AV7" i="4"/>
  <c r="AU7" i="4"/>
  <c r="AU19" i="4" s="1"/>
  <c r="AT7" i="4"/>
  <c r="AT19" i="4" s="1"/>
  <c r="AS7" i="4"/>
  <c r="CG18" i="4"/>
  <c r="CF18" i="4"/>
  <c r="CE18" i="4"/>
  <c r="CD18" i="4"/>
  <c r="CC18" i="4"/>
  <c r="CB18" i="4"/>
  <c r="CB20" i="4"/>
  <c r="CD19" i="4"/>
  <c r="BZ18" i="4"/>
  <c r="BY18" i="4"/>
  <c r="BX18" i="4"/>
  <c r="BW18" i="4"/>
  <c r="BV18" i="4"/>
  <c r="BU18" i="4"/>
  <c r="BY20" i="4"/>
  <c r="BV19" i="4"/>
  <c r="BU19" i="4"/>
  <c r="BS18" i="4"/>
  <c r="BR18" i="4"/>
  <c r="BQ18" i="4"/>
  <c r="BP18" i="4"/>
  <c r="BO18" i="4"/>
  <c r="BN18" i="4"/>
  <c r="BS20" i="4"/>
  <c r="BR20" i="4"/>
  <c r="BN20" i="4"/>
  <c r="BQ19" i="4"/>
  <c r="BP19" i="4"/>
  <c r="BL18" i="4"/>
  <c r="BK18" i="4"/>
  <c r="BJ18" i="4"/>
  <c r="BI18" i="4"/>
  <c r="BH18" i="4"/>
  <c r="BG18" i="4"/>
  <c r="BL20" i="4"/>
  <c r="BG20" i="4"/>
  <c r="BE18" i="4"/>
  <c r="BD18" i="4"/>
  <c r="BC18" i="4"/>
  <c r="BB18" i="4"/>
  <c r="BA18" i="4"/>
  <c r="AZ18" i="4"/>
  <c r="BD20" i="4"/>
  <c r="AX18" i="4"/>
  <c r="AW18" i="4"/>
  <c r="AV18" i="4"/>
  <c r="AU18" i="4"/>
  <c r="AT18" i="4"/>
  <c r="AS18" i="4"/>
  <c r="AX19" i="4"/>
  <c r="AS19" i="4"/>
  <c r="AQ17" i="4"/>
  <c r="AP17" i="4"/>
  <c r="AO17" i="4"/>
  <c r="AN17" i="4"/>
  <c r="AM17" i="4"/>
  <c r="AL17" i="4"/>
  <c r="AQ16" i="4"/>
  <c r="AP16" i="4"/>
  <c r="AO16" i="4"/>
  <c r="AN16" i="4"/>
  <c r="AM16" i="4"/>
  <c r="AL16" i="4"/>
  <c r="AQ15" i="4"/>
  <c r="AP15" i="4"/>
  <c r="AO15" i="4"/>
  <c r="AN15" i="4"/>
  <c r="AM15" i="4"/>
  <c r="AL15" i="4"/>
  <c r="AQ14" i="4"/>
  <c r="AP14" i="4"/>
  <c r="AO14" i="4"/>
  <c r="AN14" i="4"/>
  <c r="AM14" i="4"/>
  <c r="AL14" i="4"/>
  <c r="AQ13" i="4"/>
  <c r="AP13" i="4"/>
  <c r="AO13" i="4"/>
  <c r="AN13" i="4"/>
  <c r="AM13" i="4"/>
  <c r="AL13" i="4"/>
  <c r="AQ12" i="4"/>
  <c r="AP12" i="4"/>
  <c r="AO12" i="4"/>
  <c r="AN12" i="4"/>
  <c r="AM12" i="4"/>
  <c r="AL12" i="4"/>
  <c r="AQ11" i="4"/>
  <c r="AP11" i="4"/>
  <c r="AO11" i="4"/>
  <c r="AN11" i="4"/>
  <c r="AM11" i="4"/>
  <c r="AL11" i="4"/>
  <c r="AQ10" i="4"/>
  <c r="AP10" i="4"/>
  <c r="AO10" i="4"/>
  <c r="AN10" i="4"/>
  <c r="AM10" i="4"/>
  <c r="AL10" i="4"/>
  <c r="AQ9" i="4"/>
  <c r="AP9" i="4"/>
  <c r="AO9" i="4"/>
  <c r="AN9" i="4"/>
  <c r="AM9" i="4"/>
  <c r="AM20" i="4" s="1"/>
  <c r="AL9" i="4"/>
  <c r="AQ8" i="4"/>
  <c r="AP8" i="4"/>
  <c r="AO8" i="4"/>
  <c r="AN8" i="4"/>
  <c r="AM8" i="4"/>
  <c r="AL8" i="4"/>
  <c r="AQ7" i="4"/>
  <c r="AP7" i="4"/>
  <c r="AO7" i="4"/>
  <c r="AN7" i="4"/>
  <c r="AM7" i="4"/>
  <c r="AL7" i="4"/>
  <c r="AJ17" i="4"/>
  <c r="AI17" i="4"/>
  <c r="AH17" i="4"/>
  <c r="AG17" i="4"/>
  <c r="AF17" i="4"/>
  <c r="AE17" i="4"/>
  <c r="AJ16" i="4"/>
  <c r="AI16" i="4"/>
  <c r="AH16" i="4"/>
  <c r="AG16" i="4"/>
  <c r="AF16" i="4"/>
  <c r="AF20" i="4" s="1"/>
  <c r="AE16" i="4"/>
  <c r="AJ15" i="4"/>
  <c r="AI15" i="4"/>
  <c r="AH15" i="4"/>
  <c r="AG15" i="4"/>
  <c r="AF15" i="4"/>
  <c r="AE15" i="4"/>
  <c r="AJ14" i="4"/>
  <c r="AI14" i="4"/>
  <c r="AH14" i="4"/>
  <c r="AG14" i="4"/>
  <c r="AF14" i="4"/>
  <c r="AE14" i="4"/>
  <c r="AJ13" i="4"/>
  <c r="AI13" i="4"/>
  <c r="AH13" i="4"/>
  <c r="AG13" i="4"/>
  <c r="AF13" i="4"/>
  <c r="AE13" i="4"/>
  <c r="AJ12" i="4"/>
  <c r="AI12" i="4"/>
  <c r="AH12" i="4"/>
  <c r="AG12" i="4"/>
  <c r="AF12" i="4"/>
  <c r="AE12" i="4"/>
  <c r="AJ11" i="4"/>
  <c r="AI11" i="4"/>
  <c r="AH11" i="4"/>
  <c r="AG11" i="4"/>
  <c r="AF11" i="4"/>
  <c r="AE11" i="4"/>
  <c r="AJ10" i="4"/>
  <c r="AI10" i="4"/>
  <c r="AH10" i="4"/>
  <c r="AG10" i="4"/>
  <c r="AF10" i="4"/>
  <c r="AE10" i="4"/>
  <c r="AJ9" i="4"/>
  <c r="AI9" i="4"/>
  <c r="AH9" i="4"/>
  <c r="AG9" i="4"/>
  <c r="AF9" i="4"/>
  <c r="AE9" i="4"/>
  <c r="AJ8" i="4"/>
  <c r="AI8" i="4"/>
  <c r="AH8" i="4"/>
  <c r="AG8" i="4"/>
  <c r="AF8" i="4"/>
  <c r="AE8" i="4"/>
  <c r="AJ7" i="4"/>
  <c r="AI7" i="4"/>
  <c r="AI19" i="4" s="1"/>
  <c r="AH7" i="4"/>
  <c r="AG7" i="4"/>
  <c r="AF7" i="4"/>
  <c r="AE7" i="4"/>
  <c r="AE19" i="4" s="1"/>
  <c r="AC17" i="4"/>
  <c r="AB17" i="4"/>
  <c r="AA17" i="4"/>
  <c r="Z17" i="4"/>
  <c r="Y17" i="4"/>
  <c r="X17" i="4"/>
  <c r="AC16" i="4"/>
  <c r="AB16" i="4"/>
  <c r="AA16" i="4"/>
  <c r="Z16" i="4"/>
  <c r="Y16" i="4"/>
  <c r="X16" i="4"/>
  <c r="AC15" i="4"/>
  <c r="AB15" i="4"/>
  <c r="AA15" i="4"/>
  <c r="Z15" i="4"/>
  <c r="Y15" i="4"/>
  <c r="X15" i="4"/>
  <c r="AC14" i="4"/>
  <c r="AB14" i="4"/>
  <c r="AA14" i="4"/>
  <c r="Z14" i="4"/>
  <c r="Y14" i="4"/>
  <c r="X14" i="4"/>
  <c r="AC13" i="4"/>
  <c r="AB13" i="4"/>
  <c r="AA13" i="4"/>
  <c r="Z13" i="4"/>
  <c r="Y13" i="4"/>
  <c r="X13" i="4"/>
  <c r="AC12" i="4"/>
  <c r="AB12" i="4"/>
  <c r="AA12" i="4"/>
  <c r="Z12" i="4"/>
  <c r="Y12" i="4"/>
  <c r="X12" i="4"/>
  <c r="AC11" i="4"/>
  <c r="AB11" i="4"/>
  <c r="AA11" i="4"/>
  <c r="Z11" i="4"/>
  <c r="Y11" i="4"/>
  <c r="X11" i="4"/>
  <c r="AC10" i="4"/>
  <c r="AB10" i="4"/>
  <c r="AA10" i="4"/>
  <c r="Z10" i="4"/>
  <c r="Y10" i="4"/>
  <c r="X10" i="4"/>
  <c r="AC9" i="4"/>
  <c r="AB9" i="4"/>
  <c r="AA9" i="4"/>
  <c r="Z9" i="4"/>
  <c r="Z20" i="4" s="1"/>
  <c r="Y9" i="4"/>
  <c r="X9" i="4"/>
  <c r="AC8" i="4"/>
  <c r="AB8" i="4"/>
  <c r="AA8" i="4"/>
  <c r="AA19" i="4" s="1"/>
  <c r="Z8" i="4"/>
  <c r="Y8" i="4"/>
  <c r="X8" i="4"/>
  <c r="AC7" i="4"/>
  <c r="AC19" i="4" s="1"/>
  <c r="AB7" i="4"/>
  <c r="AA7" i="4"/>
  <c r="Z7" i="4"/>
  <c r="Y7" i="4"/>
  <c r="X7" i="4"/>
  <c r="V17" i="4"/>
  <c r="U17" i="4"/>
  <c r="T17" i="4"/>
  <c r="S17" i="4"/>
  <c r="R17" i="4"/>
  <c r="Q17" i="4"/>
  <c r="V16" i="4"/>
  <c r="U16" i="4"/>
  <c r="T16" i="4"/>
  <c r="S16" i="4"/>
  <c r="R16" i="4"/>
  <c r="Q16" i="4"/>
  <c r="V15" i="4"/>
  <c r="U15" i="4"/>
  <c r="T15" i="4"/>
  <c r="S15" i="4"/>
  <c r="R15" i="4"/>
  <c r="Q15" i="4"/>
  <c r="V14" i="4"/>
  <c r="U14" i="4"/>
  <c r="T14" i="4"/>
  <c r="S14" i="4"/>
  <c r="R14" i="4"/>
  <c r="Q14" i="4"/>
  <c r="V13" i="4"/>
  <c r="U13" i="4"/>
  <c r="T13" i="4"/>
  <c r="S13" i="4"/>
  <c r="R13" i="4"/>
  <c r="Q13" i="4"/>
  <c r="V12" i="4"/>
  <c r="U12" i="4"/>
  <c r="T12" i="4"/>
  <c r="S12" i="4"/>
  <c r="R12" i="4"/>
  <c r="Q12" i="4"/>
  <c r="V11" i="4"/>
  <c r="U11" i="4"/>
  <c r="T11" i="4"/>
  <c r="S11" i="4"/>
  <c r="R11" i="4"/>
  <c r="Q11" i="4"/>
  <c r="V10" i="4"/>
  <c r="U10" i="4"/>
  <c r="T10" i="4"/>
  <c r="S10" i="4"/>
  <c r="R10" i="4"/>
  <c r="Q10" i="4"/>
  <c r="V9" i="4"/>
  <c r="U9" i="4"/>
  <c r="U20" i="4" s="1"/>
  <c r="T9" i="4"/>
  <c r="S9" i="4"/>
  <c r="R9" i="4"/>
  <c r="Q9" i="4"/>
  <c r="V8" i="4"/>
  <c r="U8" i="4"/>
  <c r="T8" i="4"/>
  <c r="S8" i="4"/>
  <c r="R8" i="4"/>
  <c r="Q8" i="4"/>
  <c r="V7" i="4"/>
  <c r="U7" i="4"/>
  <c r="U19" i="4" s="1"/>
  <c r="T7" i="4"/>
  <c r="S7" i="4"/>
  <c r="R7" i="4"/>
  <c r="Q7" i="4"/>
  <c r="Q19" i="4" s="1"/>
  <c r="AQ18" i="4"/>
  <c r="AP18" i="4"/>
  <c r="AO18" i="4"/>
  <c r="AN18" i="4"/>
  <c r="AM18" i="4"/>
  <c r="AL18" i="4"/>
  <c r="AJ18" i="4"/>
  <c r="AI18" i="4"/>
  <c r="AH18" i="4"/>
  <c r="AG18" i="4"/>
  <c r="AF18" i="4"/>
  <c r="AE18" i="4"/>
  <c r="AC18" i="4"/>
  <c r="AB18" i="4"/>
  <c r="AA18" i="4"/>
  <c r="Z18" i="4"/>
  <c r="Y18" i="4"/>
  <c r="X18" i="4"/>
  <c r="AA20" i="4"/>
  <c r="V18" i="4"/>
  <c r="U18" i="4"/>
  <c r="T18" i="4"/>
  <c r="S18" i="4"/>
  <c r="R18" i="4"/>
  <c r="Q18" i="4"/>
  <c r="O17" i="4"/>
  <c r="N17" i="4"/>
  <c r="M17" i="4"/>
  <c r="L17" i="4"/>
  <c r="K17" i="4"/>
  <c r="J17" i="4"/>
  <c r="O16" i="4"/>
  <c r="N16" i="4"/>
  <c r="M16" i="4"/>
  <c r="L16" i="4"/>
  <c r="K16" i="4"/>
  <c r="J16" i="4"/>
  <c r="O15" i="4"/>
  <c r="N15" i="4"/>
  <c r="M15" i="4"/>
  <c r="L15" i="4"/>
  <c r="K15" i="4"/>
  <c r="J15" i="4"/>
  <c r="O14" i="4"/>
  <c r="N14" i="4"/>
  <c r="M14" i="4"/>
  <c r="L14" i="4"/>
  <c r="K14" i="4"/>
  <c r="J14" i="4"/>
  <c r="O13" i="4"/>
  <c r="N13" i="4"/>
  <c r="M13" i="4"/>
  <c r="L13" i="4"/>
  <c r="K13" i="4"/>
  <c r="J13" i="4"/>
  <c r="O12" i="4"/>
  <c r="N12" i="4"/>
  <c r="M12" i="4"/>
  <c r="L12" i="4"/>
  <c r="K12" i="4"/>
  <c r="J12" i="4"/>
  <c r="O11" i="4"/>
  <c r="N11" i="4"/>
  <c r="M11" i="4"/>
  <c r="L11" i="4"/>
  <c r="K11" i="4"/>
  <c r="J11" i="4"/>
  <c r="O10" i="4"/>
  <c r="N10" i="4"/>
  <c r="M10" i="4"/>
  <c r="L10" i="4"/>
  <c r="K10" i="4"/>
  <c r="J10" i="4"/>
  <c r="O9" i="4"/>
  <c r="N9" i="4"/>
  <c r="M9" i="4"/>
  <c r="L9" i="4"/>
  <c r="K9" i="4"/>
  <c r="J9" i="4"/>
  <c r="O8" i="4"/>
  <c r="N8" i="4"/>
  <c r="M8" i="4"/>
  <c r="L8" i="4"/>
  <c r="K8" i="4"/>
  <c r="J8" i="4"/>
  <c r="O7" i="4"/>
  <c r="N7" i="4"/>
  <c r="M7" i="4"/>
  <c r="L7" i="4"/>
  <c r="K7" i="4"/>
  <c r="J7" i="4"/>
  <c r="O18" i="4"/>
  <c r="N18" i="4"/>
  <c r="M18" i="4"/>
  <c r="L18" i="4"/>
  <c r="K18" i="4"/>
  <c r="J18" i="4"/>
  <c r="C8" i="4"/>
  <c r="D8" i="4"/>
  <c r="E8" i="4"/>
  <c r="F8" i="4"/>
  <c r="G8" i="4"/>
  <c r="H8" i="4"/>
  <c r="C9" i="4"/>
  <c r="D9" i="4"/>
  <c r="E9" i="4"/>
  <c r="F9" i="4"/>
  <c r="G9" i="4"/>
  <c r="H9" i="4"/>
  <c r="C10" i="4"/>
  <c r="D10" i="4"/>
  <c r="E10" i="4"/>
  <c r="F10" i="4"/>
  <c r="G10" i="4"/>
  <c r="H10" i="4"/>
  <c r="C11" i="4"/>
  <c r="D11" i="4"/>
  <c r="E11" i="4"/>
  <c r="F11" i="4"/>
  <c r="G11" i="4"/>
  <c r="H11" i="4"/>
  <c r="C12" i="4"/>
  <c r="D12" i="4"/>
  <c r="E12" i="4"/>
  <c r="F12" i="4"/>
  <c r="G12" i="4"/>
  <c r="H12" i="4"/>
  <c r="C13" i="4"/>
  <c r="D13" i="4"/>
  <c r="E13" i="4"/>
  <c r="F13" i="4"/>
  <c r="G13" i="4"/>
  <c r="H13" i="4"/>
  <c r="C14" i="4"/>
  <c r="D14" i="4"/>
  <c r="E14" i="4"/>
  <c r="F14" i="4"/>
  <c r="G14" i="4"/>
  <c r="H14" i="4"/>
  <c r="C15" i="4"/>
  <c r="D15" i="4"/>
  <c r="E15" i="4"/>
  <c r="F15" i="4"/>
  <c r="G15" i="4"/>
  <c r="H15" i="4"/>
  <c r="C16" i="4"/>
  <c r="D16" i="4"/>
  <c r="E16" i="4"/>
  <c r="F16" i="4"/>
  <c r="G16" i="4"/>
  <c r="H16" i="4"/>
  <c r="C17" i="4"/>
  <c r="D17" i="4"/>
  <c r="E17" i="4"/>
  <c r="F17" i="4"/>
  <c r="G17" i="4"/>
  <c r="H17" i="4"/>
  <c r="H7" i="4"/>
  <c r="G7" i="4"/>
  <c r="F7" i="4"/>
  <c r="E7" i="4"/>
  <c r="D7" i="4"/>
  <c r="C7" i="4"/>
  <c r="H18" i="4"/>
  <c r="G18" i="4"/>
  <c r="F18" i="4"/>
  <c r="E18" i="4"/>
  <c r="D18" i="4"/>
  <c r="C18" i="4"/>
  <c r="D58" i="21"/>
  <c r="M47" i="21"/>
  <c r="L47" i="21"/>
  <c r="K47" i="21"/>
  <c r="J47" i="21"/>
  <c r="I47" i="21"/>
  <c r="H47" i="21"/>
  <c r="M46" i="21"/>
  <c r="L46" i="21"/>
  <c r="K46" i="21"/>
  <c r="J46" i="21"/>
  <c r="I46" i="21"/>
  <c r="H46" i="21"/>
  <c r="M45" i="21"/>
  <c r="L45" i="21"/>
  <c r="K45" i="21"/>
  <c r="J45" i="21"/>
  <c r="I45" i="21"/>
  <c r="H45" i="21"/>
  <c r="M44" i="21"/>
  <c r="L44" i="21"/>
  <c r="K44" i="21"/>
  <c r="J44" i="21"/>
  <c r="I44" i="21"/>
  <c r="H44" i="21"/>
  <c r="M43" i="21"/>
  <c r="L43" i="21"/>
  <c r="K43" i="21"/>
  <c r="J43" i="21"/>
  <c r="I43" i="21"/>
  <c r="H43" i="21"/>
  <c r="M42" i="21"/>
  <c r="L42" i="21"/>
  <c r="K42" i="21"/>
  <c r="J42" i="21"/>
  <c r="I42" i="21"/>
  <c r="H42" i="21"/>
  <c r="M41" i="21"/>
  <c r="L41" i="21"/>
  <c r="K41" i="21"/>
  <c r="J41" i="21"/>
  <c r="I41" i="21"/>
  <c r="H41" i="21"/>
  <c r="M40" i="21"/>
  <c r="L40" i="21"/>
  <c r="K40" i="21"/>
  <c r="J40" i="21"/>
  <c r="I40" i="21"/>
  <c r="H40" i="21"/>
  <c r="M39" i="21"/>
  <c r="L39" i="21"/>
  <c r="K39" i="21"/>
  <c r="J39" i="21"/>
  <c r="I39" i="21"/>
  <c r="H39" i="21"/>
  <c r="M38" i="21"/>
  <c r="M49" i="21" s="1"/>
  <c r="L38" i="21"/>
  <c r="K38" i="21"/>
  <c r="K49" i="21" s="1"/>
  <c r="J38" i="21"/>
  <c r="J49" i="21" s="1"/>
  <c r="I38" i="21"/>
  <c r="I49" i="21" s="1"/>
  <c r="H38" i="21"/>
  <c r="H49" i="21" s="1"/>
  <c r="M37" i="21"/>
  <c r="L37" i="21"/>
  <c r="K37" i="21"/>
  <c r="J37" i="21"/>
  <c r="I37" i="21"/>
  <c r="H37" i="21"/>
  <c r="M36" i="21"/>
  <c r="M48" i="21" s="1"/>
  <c r="L36" i="21"/>
  <c r="K36" i="21"/>
  <c r="K48" i="21" s="1"/>
  <c r="J36" i="21"/>
  <c r="I36" i="21"/>
  <c r="H36" i="21"/>
  <c r="H48" i="21" s="1"/>
  <c r="A24" i="21"/>
  <c r="A22" i="21"/>
  <c r="A20" i="21"/>
  <c r="A18" i="21"/>
  <c r="A16" i="21"/>
  <c r="A14" i="21"/>
  <c r="F5" i="21"/>
  <c r="F3" i="21" s="1"/>
  <c r="I4" i="21"/>
  <c r="I5" i="21" s="1"/>
  <c r="H3" i="21"/>
  <c r="A1" i="21"/>
  <c r="D58" i="20"/>
  <c r="M47" i="20"/>
  <c r="L47" i="20"/>
  <c r="K47" i="20"/>
  <c r="J47" i="20"/>
  <c r="I47" i="20"/>
  <c r="H47" i="20"/>
  <c r="M46" i="20"/>
  <c r="L46" i="20"/>
  <c r="K46" i="20"/>
  <c r="J46" i="20"/>
  <c r="I46" i="20"/>
  <c r="H46" i="20"/>
  <c r="M45" i="20"/>
  <c r="L45" i="20"/>
  <c r="K45" i="20"/>
  <c r="J45" i="20"/>
  <c r="I45" i="20"/>
  <c r="H45" i="20"/>
  <c r="M44" i="20"/>
  <c r="L44" i="20"/>
  <c r="K44" i="20"/>
  <c r="J44" i="20"/>
  <c r="I44" i="20"/>
  <c r="H44" i="20"/>
  <c r="M43" i="20"/>
  <c r="L43" i="20"/>
  <c r="K43" i="20"/>
  <c r="J43" i="20"/>
  <c r="I43" i="20"/>
  <c r="H43" i="20"/>
  <c r="M42" i="20"/>
  <c r="L42" i="20"/>
  <c r="K42" i="20"/>
  <c r="J42" i="20"/>
  <c r="I42" i="20"/>
  <c r="H42" i="20"/>
  <c r="M41" i="20"/>
  <c r="L41" i="20"/>
  <c r="K41" i="20"/>
  <c r="J41" i="20"/>
  <c r="I41" i="20"/>
  <c r="H41" i="20"/>
  <c r="M40" i="20"/>
  <c r="L40" i="20"/>
  <c r="K40" i="20"/>
  <c r="J40" i="20"/>
  <c r="I40" i="20"/>
  <c r="H40" i="20"/>
  <c r="M39" i="20"/>
  <c r="L39" i="20"/>
  <c r="K39" i="20"/>
  <c r="J39" i="20"/>
  <c r="I39" i="20"/>
  <c r="H39" i="20"/>
  <c r="M38" i="20"/>
  <c r="M49" i="20" s="1"/>
  <c r="L38" i="20"/>
  <c r="L49" i="20" s="1"/>
  <c r="K38" i="20"/>
  <c r="J38" i="20"/>
  <c r="J49" i="20" s="1"/>
  <c r="I38" i="20"/>
  <c r="I49" i="20" s="1"/>
  <c r="H38" i="20"/>
  <c r="H49" i="20" s="1"/>
  <c r="M37" i="20"/>
  <c r="L37" i="20"/>
  <c r="K37" i="20"/>
  <c r="J37" i="20"/>
  <c r="I37" i="20"/>
  <c r="H37" i="20"/>
  <c r="M36" i="20"/>
  <c r="M48" i="20" s="1"/>
  <c r="L36" i="20"/>
  <c r="L48" i="20" s="1"/>
  <c r="K36" i="20"/>
  <c r="J36" i="20"/>
  <c r="I36" i="20"/>
  <c r="I48" i="20" s="1"/>
  <c r="H36" i="20"/>
  <c r="H48" i="20" s="1"/>
  <c r="A24" i="20"/>
  <c r="A22" i="20"/>
  <c r="A20" i="20"/>
  <c r="A18" i="20"/>
  <c r="A16" i="20"/>
  <c r="A14" i="20"/>
  <c r="I5" i="20"/>
  <c r="K3" i="20" s="1"/>
  <c r="F5" i="20"/>
  <c r="H3" i="20" s="1"/>
  <c r="L4" i="20"/>
  <c r="O4" i="20" s="1"/>
  <c r="R4" i="20" s="1"/>
  <c r="R5" i="20" s="1"/>
  <c r="I4" i="20"/>
  <c r="F3" i="20"/>
  <c r="A1" i="20"/>
  <c r="D58" i="19"/>
  <c r="M47" i="19"/>
  <c r="L47" i="19"/>
  <c r="K47" i="19"/>
  <c r="J47" i="19"/>
  <c r="I47" i="19"/>
  <c r="H47" i="19"/>
  <c r="M46" i="19"/>
  <c r="L46" i="19"/>
  <c r="K46" i="19"/>
  <c r="J46" i="19"/>
  <c r="I46" i="19"/>
  <c r="H46" i="19"/>
  <c r="M45" i="19"/>
  <c r="L45" i="19"/>
  <c r="K45" i="19"/>
  <c r="J45" i="19"/>
  <c r="I45" i="19"/>
  <c r="H45" i="19"/>
  <c r="M44" i="19"/>
  <c r="L44" i="19"/>
  <c r="K44" i="19"/>
  <c r="J44" i="19"/>
  <c r="I44" i="19"/>
  <c r="H44" i="19"/>
  <c r="M43" i="19"/>
  <c r="L43" i="19"/>
  <c r="K43" i="19"/>
  <c r="J43" i="19"/>
  <c r="I43" i="19"/>
  <c r="H43" i="19"/>
  <c r="M42" i="19"/>
  <c r="L42" i="19"/>
  <c r="K42" i="19"/>
  <c r="J42" i="19"/>
  <c r="I42" i="19"/>
  <c r="H42" i="19"/>
  <c r="M41" i="19"/>
  <c r="L41" i="19"/>
  <c r="K41" i="19"/>
  <c r="J41" i="19"/>
  <c r="I41" i="19"/>
  <c r="H41" i="19"/>
  <c r="M40" i="19"/>
  <c r="L40" i="19"/>
  <c r="K40" i="19"/>
  <c r="J40" i="19"/>
  <c r="I40" i="19"/>
  <c r="H40" i="19"/>
  <c r="M39" i="19"/>
  <c r="L39" i="19"/>
  <c r="K39" i="19"/>
  <c r="J39" i="19"/>
  <c r="I39" i="19"/>
  <c r="H39" i="19"/>
  <c r="M38" i="19"/>
  <c r="L38" i="19"/>
  <c r="L49" i="19" s="1"/>
  <c r="K38" i="19"/>
  <c r="J38" i="19"/>
  <c r="J49" i="19" s="1"/>
  <c r="I38" i="19"/>
  <c r="H38" i="19"/>
  <c r="H49" i="19" s="1"/>
  <c r="M37" i="19"/>
  <c r="L37" i="19"/>
  <c r="K37" i="19"/>
  <c r="J37" i="19"/>
  <c r="I37" i="19"/>
  <c r="H37" i="19"/>
  <c r="M36" i="19"/>
  <c r="L36" i="19"/>
  <c r="L48" i="19" s="1"/>
  <c r="K36" i="19"/>
  <c r="J36" i="19"/>
  <c r="I36" i="19"/>
  <c r="H36" i="19"/>
  <c r="H48" i="19" s="1"/>
  <c r="A24" i="19"/>
  <c r="A22" i="19"/>
  <c r="A20" i="19"/>
  <c r="A18" i="19"/>
  <c r="A16" i="19"/>
  <c r="A14" i="19"/>
  <c r="F5" i="19"/>
  <c r="G3" i="19" s="1"/>
  <c r="I4" i="19"/>
  <c r="H3" i="19"/>
  <c r="F3" i="19"/>
  <c r="A1" i="19"/>
  <c r="D58" i="18"/>
  <c r="M47" i="18"/>
  <c r="L47" i="18"/>
  <c r="K47" i="18"/>
  <c r="J47" i="18"/>
  <c r="I47" i="18"/>
  <c r="H47" i="18"/>
  <c r="M46" i="18"/>
  <c r="L46" i="18"/>
  <c r="K46" i="18"/>
  <c r="J46" i="18"/>
  <c r="I46" i="18"/>
  <c r="H46" i="18"/>
  <c r="M45" i="18"/>
  <c r="L45" i="18"/>
  <c r="K45" i="18"/>
  <c r="J45" i="18"/>
  <c r="I45" i="18"/>
  <c r="H45" i="18"/>
  <c r="M44" i="18"/>
  <c r="L44" i="18"/>
  <c r="K44" i="18"/>
  <c r="J44" i="18"/>
  <c r="I44" i="18"/>
  <c r="H44" i="18"/>
  <c r="M43" i="18"/>
  <c r="L43" i="18"/>
  <c r="K43" i="18"/>
  <c r="J43" i="18"/>
  <c r="I43" i="18"/>
  <c r="H43" i="18"/>
  <c r="M42" i="18"/>
  <c r="L42" i="18"/>
  <c r="K42" i="18"/>
  <c r="J42" i="18"/>
  <c r="I42" i="18"/>
  <c r="H42" i="18"/>
  <c r="M41" i="18"/>
  <c r="L41" i="18"/>
  <c r="K41" i="18"/>
  <c r="J41" i="18"/>
  <c r="I41" i="18"/>
  <c r="H41" i="18"/>
  <c r="M40" i="18"/>
  <c r="L40" i="18"/>
  <c r="K40" i="18"/>
  <c r="J40" i="18"/>
  <c r="I40" i="18"/>
  <c r="H40" i="18"/>
  <c r="M39" i="18"/>
  <c r="L39" i="18"/>
  <c r="K39" i="18"/>
  <c r="J39" i="18"/>
  <c r="I39" i="18"/>
  <c r="H39" i="18"/>
  <c r="M38" i="18"/>
  <c r="M49" i="18" s="1"/>
  <c r="L38" i="18"/>
  <c r="K38" i="18"/>
  <c r="J38" i="18"/>
  <c r="J49" i="18" s="1"/>
  <c r="I38" i="18"/>
  <c r="I49" i="18" s="1"/>
  <c r="H38" i="18"/>
  <c r="M37" i="18"/>
  <c r="L37" i="18"/>
  <c r="K37" i="18"/>
  <c r="J37" i="18"/>
  <c r="I37" i="18"/>
  <c r="H37" i="18"/>
  <c r="M36" i="18"/>
  <c r="M48" i="18" s="1"/>
  <c r="L36" i="18"/>
  <c r="K36" i="18"/>
  <c r="J36" i="18"/>
  <c r="J48" i="18" s="1"/>
  <c r="I36" i="18"/>
  <c r="I48" i="18" s="1"/>
  <c r="H36" i="18"/>
  <c r="A24" i="18"/>
  <c r="A22" i="18"/>
  <c r="A20" i="18"/>
  <c r="A18" i="18"/>
  <c r="A16" i="18"/>
  <c r="A14" i="18"/>
  <c r="F5" i="18"/>
  <c r="F3" i="18" s="1"/>
  <c r="I4" i="18"/>
  <c r="L4" i="18" s="1"/>
  <c r="O4" i="18" s="1"/>
  <c r="R4" i="18" s="1"/>
  <c r="A1" i="18"/>
  <c r="D58" i="17"/>
  <c r="M47" i="17"/>
  <c r="L47" i="17"/>
  <c r="K47" i="17"/>
  <c r="J47" i="17"/>
  <c r="I47" i="17"/>
  <c r="H47" i="17"/>
  <c r="M46" i="17"/>
  <c r="L46" i="17"/>
  <c r="K46" i="17"/>
  <c r="J46" i="17"/>
  <c r="I46" i="17"/>
  <c r="H46" i="17"/>
  <c r="M45" i="17"/>
  <c r="L45" i="17"/>
  <c r="K45" i="17"/>
  <c r="J45" i="17"/>
  <c r="I45" i="17"/>
  <c r="H45" i="17"/>
  <c r="M44" i="17"/>
  <c r="L44" i="17"/>
  <c r="K44" i="17"/>
  <c r="J44" i="17"/>
  <c r="I44" i="17"/>
  <c r="H44" i="17"/>
  <c r="M43" i="17"/>
  <c r="L43" i="17"/>
  <c r="K43" i="17"/>
  <c r="J43" i="17"/>
  <c r="I43" i="17"/>
  <c r="H43" i="17"/>
  <c r="M42" i="17"/>
  <c r="L42" i="17"/>
  <c r="K42" i="17"/>
  <c r="J42" i="17"/>
  <c r="I42" i="17"/>
  <c r="H42" i="17"/>
  <c r="M41" i="17"/>
  <c r="L41" i="17"/>
  <c r="K41" i="17"/>
  <c r="J41" i="17"/>
  <c r="I41" i="17"/>
  <c r="H41" i="17"/>
  <c r="M40" i="17"/>
  <c r="L40" i="17"/>
  <c r="K40" i="17"/>
  <c r="J40" i="17"/>
  <c r="I40" i="17"/>
  <c r="H40" i="17"/>
  <c r="M39" i="17"/>
  <c r="L39" i="17"/>
  <c r="K39" i="17"/>
  <c r="J39" i="17"/>
  <c r="I39" i="17"/>
  <c r="H39" i="17"/>
  <c r="M38" i="17"/>
  <c r="L38" i="17"/>
  <c r="L49" i="17" s="1"/>
  <c r="K38" i="17"/>
  <c r="K49" i="17" s="1"/>
  <c r="J38" i="17"/>
  <c r="I38" i="17"/>
  <c r="H38" i="17"/>
  <c r="H49" i="17" s="1"/>
  <c r="M37" i="17"/>
  <c r="L37" i="17"/>
  <c r="K37" i="17"/>
  <c r="J37" i="17"/>
  <c r="I37" i="17"/>
  <c r="H37" i="17"/>
  <c r="M36" i="17"/>
  <c r="L36" i="17"/>
  <c r="K36" i="17"/>
  <c r="K48" i="17" s="1"/>
  <c r="J36" i="17"/>
  <c r="I36" i="17"/>
  <c r="H36" i="17"/>
  <c r="A24" i="17"/>
  <c r="A22" i="17"/>
  <c r="A20" i="17"/>
  <c r="A18" i="17"/>
  <c r="A16" i="17"/>
  <c r="A14" i="17"/>
  <c r="F5" i="17"/>
  <c r="H3" i="17" s="1"/>
  <c r="I4" i="17"/>
  <c r="I5" i="17" s="1"/>
  <c r="J3" i="17" s="1"/>
  <c r="G3" i="17"/>
  <c r="F3" i="17"/>
  <c r="A1" i="17"/>
  <c r="D58" i="16"/>
  <c r="M47" i="16"/>
  <c r="L47" i="16"/>
  <c r="K47" i="16"/>
  <c r="J47" i="16"/>
  <c r="I47" i="16"/>
  <c r="H47" i="16"/>
  <c r="M46" i="16"/>
  <c r="L46" i="16"/>
  <c r="K46" i="16"/>
  <c r="J46" i="16"/>
  <c r="I46" i="16"/>
  <c r="H46" i="16"/>
  <c r="M45" i="16"/>
  <c r="L45" i="16"/>
  <c r="K45" i="16"/>
  <c r="K49" i="16" s="1"/>
  <c r="J45" i="16"/>
  <c r="I45" i="16"/>
  <c r="H45" i="16"/>
  <c r="M44" i="16"/>
  <c r="L44" i="16"/>
  <c r="K44" i="16"/>
  <c r="J44" i="16"/>
  <c r="I44" i="16"/>
  <c r="H44" i="16"/>
  <c r="M43" i="16"/>
  <c r="L43" i="16"/>
  <c r="K43" i="16"/>
  <c r="J43" i="16"/>
  <c r="I43" i="16"/>
  <c r="H43" i="16"/>
  <c r="M42" i="16"/>
  <c r="L42" i="16"/>
  <c r="K42" i="16"/>
  <c r="J42" i="16"/>
  <c r="I42" i="16"/>
  <c r="H42" i="16"/>
  <c r="M41" i="16"/>
  <c r="L41" i="16"/>
  <c r="K41" i="16"/>
  <c r="J41" i="16"/>
  <c r="I41" i="16"/>
  <c r="H41" i="16"/>
  <c r="M40" i="16"/>
  <c r="L40" i="16"/>
  <c r="K40" i="16"/>
  <c r="J40" i="16"/>
  <c r="I40" i="16"/>
  <c r="H40" i="16"/>
  <c r="M39" i="16"/>
  <c r="L39" i="16"/>
  <c r="K39" i="16"/>
  <c r="J39" i="16"/>
  <c r="I39" i="16"/>
  <c r="H39" i="16"/>
  <c r="M38" i="16"/>
  <c r="M49" i="16" s="1"/>
  <c r="L38" i="16"/>
  <c r="L49" i="16" s="1"/>
  <c r="K38" i="16"/>
  <c r="J38" i="16"/>
  <c r="I38" i="16"/>
  <c r="I49" i="16" s="1"/>
  <c r="H38" i="16"/>
  <c r="H49" i="16" s="1"/>
  <c r="M37" i="16"/>
  <c r="L37" i="16"/>
  <c r="K37" i="16"/>
  <c r="J37" i="16"/>
  <c r="I37" i="16"/>
  <c r="H37" i="16"/>
  <c r="M36" i="16"/>
  <c r="M48" i="16" s="1"/>
  <c r="L36" i="16"/>
  <c r="L48" i="16" s="1"/>
  <c r="K36" i="16"/>
  <c r="J36" i="16"/>
  <c r="I36" i="16"/>
  <c r="I48" i="16" s="1"/>
  <c r="H36" i="16"/>
  <c r="H48" i="16" s="1"/>
  <c r="A24" i="16"/>
  <c r="A22" i="16"/>
  <c r="A20" i="16"/>
  <c r="A18" i="16"/>
  <c r="A16" i="16"/>
  <c r="A14" i="16"/>
  <c r="F5" i="16"/>
  <c r="G3" i="16" s="1"/>
  <c r="I4" i="16"/>
  <c r="L4" i="16" s="1"/>
  <c r="O4" i="16" s="1"/>
  <c r="R4" i="16" s="1"/>
  <c r="R5" i="16" s="1"/>
  <c r="H3" i="16"/>
  <c r="F3" i="16"/>
  <c r="A1" i="16"/>
  <c r="D58" i="15"/>
  <c r="M47" i="15"/>
  <c r="L47" i="15"/>
  <c r="K47" i="15"/>
  <c r="J47" i="15"/>
  <c r="I47" i="15"/>
  <c r="H47" i="15"/>
  <c r="M46" i="15"/>
  <c r="L46" i="15"/>
  <c r="K46" i="15"/>
  <c r="J46" i="15"/>
  <c r="I46" i="15"/>
  <c r="H46" i="15"/>
  <c r="M45" i="15"/>
  <c r="L45" i="15"/>
  <c r="K45" i="15"/>
  <c r="J45" i="15"/>
  <c r="I45" i="15"/>
  <c r="H45" i="15"/>
  <c r="M44" i="15"/>
  <c r="L44" i="15"/>
  <c r="K44" i="15"/>
  <c r="J44" i="15"/>
  <c r="I44" i="15"/>
  <c r="H44" i="15"/>
  <c r="M43" i="15"/>
  <c r="L43" i="15"/>
  <c r="K43" i="15"/>
  <c r="J43" i="15"/>
  <c r="I43" i="15"/>
  <c r="H43" i="15"/>
  <c r="M42" i="15"/>
  <c r="L42" i="15"/>
  <c r="K42" i="15"/>
  <c r="J42" i="15"/>
  <c r="I42" i="15"/>
  <c r="H42" i="15"/>
  <c r="M41" i="15"/>
  <c r="L41" i="15"/>
  <c r="K41" i="15"/>
  <c r="J41" i="15"/>
  <c r="I41" i="15"/>
  <c r="H41" i="15"/>
  <c r="M40" i="15"/>
  <c r="L40" i="15"/>
  <c r="K40" i="15"/>
  <c r="J40" i="15"/>
  <c r="I40" i="15"/>
  <c r="H40" i="15"/>
  <c r="M39" i="15"/>
  <c r="L39" i="15"/>
  <c r="K39" i="15"/>
  <c r="J39" i="15"/>
  <c r="I39" i="15"/>
  <c r="H39" i="15"/>
  <c r="M38" i="15"/>
  <c r="L38" i="15"/>
  <c r="K38" i="15"/>
  <c r="K49" i="15" s="1"/>
  <c r="J38" i="15"/>
  <c r="J49" i="15" s="1"/>
  <c r="I38" i="15"/>
  <c r="H38" i="15"/>
  <c r="M37" i="15"/>
  <c r="L37" i="15"/>
  <c r="K37" i="15"/>
  <c r="J37" i="15"/>
  <c r="I37" i="15"/>
  <c r="H37" i="15"/>
  <c r="M36" i="15"/>
  <c r="L36" i="15"/>
  <c r="K36" i="15"/>
  <c r="K48" i="15" s="1"/>
  <c r="J36" i="15"/>
  <c r="J48" i="15" s="1"/>
  <c r="I36" i="15"/>
  <c r="H36" i="15"/>
  <c r="A24" i="15"/>
  <c r="A22" i="15"/>
  <c r="A20" i="15"/>
  <c r="A18" i="15"/>
  <c r="A16" i="15"/>
  <c r="A14" i="15"/>
  <c r="F5" i="15"/>
  <c r="H3" i="15" s="1"/>
  <c r="I4" i="15"/>
  <c r="L4" i="15" s="1"/>
  <c r="A1" i="15"/>
  <c r="D58" i="14"/>
  <c r="M47" i="14"/>
  <c r="L47" i="14"/>
  <c r="K47" i="14"/>
  <c r="J47" i="14"/>
  <c r="I47" i="14"/>
  <c r="H47" i="14"/>
  <c r="M46" i="14"/>
  <c r="L46" i="14"/>
  <c r="K46" i="14"/>
  <c r="J46" i="14"/>
  <c r="I46" i="14"/>
  <c r="H46" i="14"/>
  <c r="M45" i="14"/>
  <c r="L45" i="14"/>
  <c r="K45" i="14"/>
  <c r="J45" i="14"/>
  <c r="I45" i="14"/>
  <c r="H45" i="14"/>
  <c r="M44" i="14"/>
  <c r="L44" i="14"/>
  <c r="K44" i="14"/>
  <c r="J44" i="14"/>
  <c r="I44" i="14"/>
  <c r="H44" i="14"/>
  <c r="M43" i="14"/>
  <c r="L43" i="14"/>
  <c r="K43" i="14"/>
  <c r="J43" i="14"/>
  <c r="I43" i="14"/>
  <c r="H43" i="14"/>
  <c r="M42" i="14"/>
  <c r="L42" i="14"/>
  <c r="K42" i="14"/>
  <c r="J42" i="14"/>
  <c r="I42" i="14"/>
  <c r="H42" i="14"/>
  <c r="M41" i="14"/>
  <c r="L41" i="14"/>
  <c r="K41" i="14"/>
  <c r="J41" i="14"/>
  <c r="I41" i="14"/>
  <c r="H41" i="14"/>
  <c r="M40" i="14"/>
  <c r="L40" i="14"/>
  <c r="K40" i="14"/>
  <c r="J40" i="14"/>
  <c r="I40" i="14"/>
  <c r="H40" i="14"/>
  <c r="M39" i="14"/>
  <c r="L39" i="14"/>
  <c r="K39" i="14"/>
  <c r="J39" i="14"/>
  <c r="I39" i="14"/>
  <c r="H39" i="14"/>
  <c r="M38" i="14"/>
  <c r="L38" i="14"/>
  <c r="K38" i="14"/>
  <c r="K49" i="14" s="1"/>
  <c r="J38" i="14"/>
  <c r="J49" i="14" s="1"/>
  <c r="I38" i="14"/>
  <c r="H38" i="14"/>
  <c r="M37" i="14"/>
  <c r="L37" i="14"/>
  <c r="K37" i="14"/>
  <c r="J37" i="14"/>
  <c r="I37" i="14"/>
  <c r="H37" i="14"/>
  <c r="M36" i="14"/>
  <c r="L36" i="14"/>
  <c r="K36" i="14"/>
  <c r="K48" i="14" s="1"/>
  <c r="J36" i="14"/>
  <c r="J48" i="14" s="1"/>
  <c r="I36" i="14"/>
  <c r="H36" i="14"/>
  <c r="A24" i="14"/>
  <c r="A22" i="14"/>
  <c r="A20" i="14"/>
  <c r="A18" i="14"/>
  <c r="A16" i="14"/>
  <c r="A14" i="14"/>
  <c r="F5" i="14"/>
  <c r="F3" i="14" s="1"/>
  <c r="I4" i="14"/>
  <c r="L4" i="14" s="1"/>
  <c r="O4" i="14" s="1"/>
  <c r="A1" i="14"/>
  <c r="D58" i="13"/>
  <c r="M47" i="13"/>
  <c r="L47" i="13"/>
  <c r="K47" i="13"/>
  <c r="J47" i="13"/>
  <c r="I47" i="13"/>
  <c r="H47" i="13"/>
  <c r="M46" i="13"/>
  <c r="L46" i="13"/>
  <c r="K46" i="13"/>
  <c r="J46" i="13"/>
  <c r="I46" i="13"/>
  <c r="H46" i="13"/>
  <c r="M45" i="13"/>
  <c r="L45" i="13"/>
  <c r="K45" i="13"/>
  <c r="J45" i="13"/>
  <c r="J49" i="13" s="1"/>
  <c r="I45" i="13"/>
  <c r="H45" i="13"/>
  <c r="M44" i="13"/>
  <c r="L44" i="13"/>
  <c r="K44" i="13"/>
  <c r="J44" i="13"/>
  <c r="I44" i="13"/>
  <c r="H44" i="13"/>
  <c r="M43" i="13"/>
  <c r="L43" i="13"/>
  <c r="K43" i="13"/>
  <c r="J43" i="13"/>
  <c r="I43" i="13"/>
  <c r="H43" i="13"/>
  <c r="M42" i="13"/>
  <c r="L42" i="13"/>
  <c r="K42" i="13"/>
  <c r="J42" i="13"/>
  <c r="I42" i="13"/>
  <c r="H42" i="13"/>
  <c r="M41" i="13"/>
  <c r="L41" i="13"/>
  <c r="K41" i="13"/>
  <c r="J41" i="13"/>
  <c r="I41" i="13"/>
  <c r="H41" i="13"/>
  <c r="M40" i="13"/>
  <c r="L40" i="13"/>
  <c r="K40" i="13"/>
  <c r="J40" i="13"/>
  <c r="I40" i="13"/>
  <c r="H40" i="13"/>
  <c r="M39" i="13"/>
  <c r="L39" i="13"/>
  <c r="K39" i="13"/>
  <c r="J39" i="13"/>
  <c r="I39" i="13"/>
  <c r="H39" i="13"/>
  <c r="M38" i="13"/>
  <c r="M49" i="13" s="1"/>
  <c r="L38" i="13"/>
  <c r="L49" i="13" s="1"/>
  <c r="K38" i="13"/>
  <c r="K49" i="13" s="1"/>
  <c r="J38" i="13"/>
  <c r="I38" i="13"/>
  <c r="I49" i="13" s="1"/>
  <c r="H38" i="13"/>
  <c r="H49" i="13" s="1"/>
  <c r="M37" i="13"/>
  <c r="L37" i="13"/>
  <c r="K37" i="13"/>
  <c r="J37" i="13"/>
  <c r="I37" i="13"/>
  <c r="H37" i="13"/>
  <c r="M36" i="13"/>
  <c r="M48" i="13" s="1"/>
  <c r="L36" i="13"/>
  <c r="L48" i="13" s="1"/>
  <c r="K36" i="13"/>
  <c r="K48" i="13" s="1"/>
  <c r="J36" i="13"/>
  <c r="I36" i="13"/>
  <c r="I48" i="13" s="1"/>
  <c r="H36" i="13"/>
  <c r="H48" i="13" s="1"/>
  <c r="A24" i="13"/>
  <c r="A22" i="13"/>
  <c r="A20" i="13"/>
  <c r="A18" i="13"/>
  <c r="A16" i="13"/>
  <c r="A14" i="13"/>
  <c r="F5" i="13"/>
  <c r="G3" i="13" s="1"/>
  <c r="I4" i="13"/>
  <c r="L4" i="13" s="1"/>
  <c r="O4" i="13" s="1"/>
  <c r="A1" i="13"/>
  <c r="D58" i="12"/>
  <c r="M47" i="12"/>
  <c r="L47" i="12"/>
  <c r="K47" i="12"/>
  <c r="J47" i="12"/>
  <c r="I47" i="12"/>
  <c r="H47" i="12"/>
  <c r="M46" i="12"/>
  <c r="L46" i="12"/>
  <c r="K46" i="12"/>
  <c r="J46" i="12"/>
  <c r="I46" i="12"/>
  <c r="H46" i="12"/>
  <c r="M45" i="12"/>
  <c r="L45" i="12"/>
  <c r="K45" i="12"/>
  <c r="J45" i="12"/>
  <c r="I45" i="12"/>
  <c r="H45" i="12"/>
  <c r="M44" i="12"/>
  <c r="L44" i="12"/>
  <c r="K44" i="12"/>
  <c r="J44" i="12"/>
  <c r="I44" i="12"/>
  <c r="H44" i="12"/>
  <c r="M43" i="12"/>
  <c r="L43" i="12"/>
  <c r="K43" i="12"/>
  <c r="J43" i="12"/>
  <c r="I43" i="12"/>
  <c r="H43" i="12"/>
  <c r="M42" i="12"/>
  <c r="L42" i="12"/>
  <c r="K42" i="12"/>
  <c r="J42" i="12"/>
  <c r="I42" i="12"/>
  <c r="H42" i="12"/>
  <c r="M41" i="12"/>
  <c r="L41" i="12"/>
  <c r="K41" i="12"/>
  <c r="J41" i="12"/>
  <c r="I41" i="12"/>
  <c r="H41" i="12"/>
  <c r="M40" i="12"/>
  <c r="L40" i="12"/>
  <c r="K40" i="12"/>
  <c r="J40" i="12"/>
  <c r="I40" i="12"/>
  <c r="H40" i="12"/>
  <c r="M39" i="12"/>
  <c r="L39" i="12"/>
  <c r="K39" i="12"/>
  <c r="J39" i="12"/>
  <c r="I39" i="12"/>
  <c r="H39" i="12"/>
  <c r="M38" i="12"/>
  <c r="M49" i="12" s="1"/>
  <c r="L38" i="12"/>
  <c r="L49" i="12" s="1"/>
  <c r="K38" i="12"/>
  <c r="J38" i="12"/>
  <c r="J49" i="12" s="1"/>
  <c r="I38" i="12"/>
  <c r="I49" i="12" s="1"/>
  <c r="H38" i="12"/>
  <c r="H49" i="12" s="1"/>
  <c r="M37" i="12"/>
  <c r="L37" i="12"/>
  <c r="K37" i="12"/>
  <c r="J37" i="12"/>
  <c r="I37" i="12"/>
  <c r="H37" i="12"/>
  <c r="M36" i="12"/>
  <c r="M48" i="12" s="1"/>
  <c r="L36" i="12"/>
  <c r="L48" i="12" s="1"/>
  <c r="K36" i="12"/>
  <c r="J36" i="12"/>
  <c r="I36" i="12"/>
  <c r="H36" i="12"/>
  <c r="H48" i="12" s="1"/>
  <c r="A24" i="12"/>
  <c r="A22" i="12"/>
  <c r="A20" i="12"/>
  <c r="A18" i="12"/>
  <c r="A16" i="12"/>
  <c r="A14" i="12"/>
  <c r="F5" i="12"/>
  <c r="H3" i="12" s="1"/>
  <c r="I4" i="12"/>
  <c r="A1" i="12"/>
  <c r="D58" i="11"/>
  <c r="M47" i="11"/>
  <c r="L47" i="11"/>
  <c r="K47" i="11"/>
  <c r="J47" i="11"/>
  <c r="I47" i="11"/>
  <c r="H47" i="11"/>
  <c r="M46" i="11"/>
  <c r="L46" i="11"/>
  <c r="K46" i="11"/>
  <c r="J46" i="11"/>
  <c r="I46" i="11"/>
  <c r="H46" i="11"/>
  <c r="M45" i="11"/>
  <c r="L45" i="11"/>
  <c r="K45" i="11"/>
  <c r="K49" i="11" s="1"/>
  <c r="J45" i="11"/>
  <c r="I45" i="11"/>
  <c r="H45" i="11"/>
  <c r="M44" i="11"/>
  <c r="L44" i="11"/>
  <c r="K44" i="11"/>
  <c r="J44" i="11"/>
  <c r="I44" i="11"/>
  <c r="H44" i="11"/>
  <c r="M43" i="11"/>
  <c r="L43" i="11"/>
  <c r="K43" i="11"/>
  <c r="J43" i="11"/>
  <c r="I43" i="11"/>
  <c r="H43" i="11"/>
  <c r="M42" i="11"/>
  <c r="L42" i="11"/>
  <c r="K42" i="11"/>
  <c r="J42" i="11"/>
  <c r="I42" i="11"/>
  <c r="H42" i="11"/>
  <c r="M41" i="11"/>
  <c r="L41" i="11"/>
  <c r="K41" i="11"/>
  <c r="J41" i="11"/>
  <c r="I41" i="11"/>
  <c r="H41" i="11"/>
  <c r="M40" i="11"/>
  <c r="L40" i="11"/>
  <c r="K40" i="11"/>
  <c r="J40" i="11"/>
  <c r="I40" i="11"/>
  <c r="H40" i="11"/>
  <c r="M39" i="11"/>
  <c r="L39" i="11"/>
  <c r="K39" i="11"/>
  <c r="J39" i="11"/>
  <c r="I39" i="11"/>
  <c r="H39" i="11"/>
  <c r="M38" i="11"/>
  <c r="M49" i="11" s="1"/>
  <c r="L38" i="11"/>
  <c r="L49" i="11" s="1"/>
  <c r="K38" i="11"/>
  <c r="J38" i="11"/>
  <c r="I38" i="11"/>
  <c r="I49" i="11" s="1"/>
  <c r="H38" i="11"/>
  <c r="H49" i="11" s="1"/>
  <c r="M37" i="11"/>
  <c r="L37" i="11"/>
  <c r="K37" i="11"/>
  <c r="J37" i="11"/>
  <c r="I37" i="11"/>
  <c r="H37" i="11"/>
  <c r="M36" i="11"/>
  <c r="M48" i="11" s="1"/>
  <c r="L36" i="11"/>
  <c r="L48" i="11" s="1"/>
  <c r="K36" i="11"/>
  <c r="J36" i="11"/>
  <c r="I36" i="11"/>
  <c r="I48" i="11" s="1"/>
  <c r="H36" i="11"/>
  <c r="H48" i="11" s="1"/>
  <c r="A24" i="11"/>
  <c r="A22" i="11"/>
  <c r="A20" i="11"/>
  <c r="A18" i="11"/>
  <c r="A16" i="11"/>
  <c r="A14" i="11"/>
  <c r="I5" i="11"/>
  <c r="I3" i="11" s="1"/>
  <c r="F5" i="11"/>
  <c r="H3" i="11" s="1"/>
  <c r="I4" i="11"/>
  <c r="F3" i="11"/>
  <c r="A1" i="11"/>
  <c r="AL19" i="4" l="1"/>
  <c r="C28" i="4" s="1"/>
  <c r="H49" i="15"/>
  <c r="M48" i="15"/>
  <c r="M49" i="15"/>
  <c r="AP19" i="4"/>
  <c r="L49" i="15"/>
  <c r="L48" i="21"/>
  <c r="L49" i="21"/>
  <c r="CE19" i="4"/>
  <c r="CE20" i="4"/>
  <c r="I48" i="21"/>
  <c r="J48" i="21"/>
  <c r="I48" i="15"/>
  <c r="I49" i="15"/>
  <c r="AN19" i="4"/>
  <c r="G28" i="4" s="1"/>
  <c r="AN20" i="4"/>
  <c r="J3" i="21"/>
  <c r="I3" i="21"/>
  <c r="K3" i="21"/>
  <c r="G3" i="21"/>
  <c r="J48" i="20"/>
  <c r="BW19" i="4"/>
  <c r="G33" i="4" s="1"/>
  <c r="BU20" i="4"/>
  <c r="K48" i="20"/>
  <c r="K49" i="20"/>
  <c r="BX19" i="4"/>
  <c r="I33" i="4" s="1"/>
  <c r="BX20" i="4"/>
  <c r="I3" i="20"/>
  <c r="J3" i="20"/>
  <c r="I48" i="19"/>
  <c r="M48" i="19"/>
  <c r="I49" i="19"/>
  <c r="M49" i="19"/>
  <c r="H49" i="18"/>
  <c r="L49" i="18"/>
  <c r="BI19" i="4"/>
  <c r="BG19" i="4"/>
  <c r="BK19" i="4"/>
  <c r="BJ19" i="4"/>
  <c r="I31" i="4" s="1"/>
  <c r="BJ20" i="4"/>
  <c r="K48" i="18"/>
  <c r="K49" i="18"/>
  <c r="H3" i="18"/>
  <c r="G3" i="18"/>
  <c r="L4" i="17"/>
  <c r="H48" i="17"/>
  <c r="L48" i="17"/>
  <c r="J49" i="17"/>
  <c r="I49" i="17"/>
  <c r="H48" i="15"/>
  <c r="L48" i="15"/>
  <c r="I48" i="17"/>
  <c r="M48" i="17"/>
  <c r="M49" i="17"/>
  <c r="AZ20" i="4"/>
  <c r="BA19" i="4"/>
  <c r="BE19" i="4"/>
  <c r="M30" i="4" s="1"/>
  <c r="BC19" i="4"/>
  <c r="BA20" i="4"/>
  <c r="BE20" i="4"/>
  <c r="T3" i="16"/>
  <c r="S3" i="16"/>
  <c r="J48" i="16"/>
  <c r="J49" i="16"/>
  <c r="AW19" i="4"/>
  <c r="F3" i="15"/>
  <c r="G3" i="15"/>
  <c r="H3" i="14"/>
  <c r="G3" i="14"/>
  <c r="H48" i="14"/>
  <c r="L48" i="14"/>
  <c r="H49" i="14"/>
  <c r="L49" i="14"/>
  <c r="I48" i="14"/>
  <c r="M48" i="14"/>
  <c r="I49" i="14"/>
  <c r="M49" i="14"/>
  <c r="Z19" i="4"/>
  <c r="O5" i="13"/>
  <c r="Q3" i="13" s="1"/>
  <c r="R4" i="13"/>
  <c r="I5" i="13"/>
  <c r="J3" i="13" s="1"/>
  <c r="H3" i="13"/>
  <c r="F3" i="13"/>
  <c r="X19" i="4"/>
  <c r="AB19" i="4"/>
  <c r="J48" i="12"/>
  <c r="R19" i="4"/>
  <c r="K48" i="12"/>
  <c r="I48" i="12"/>
  <c r="K49" i="12"/>
  <c r="F3" i="12"/>
  <c r="G3" i="12"/>
  <c r="G3" i="11"/>
  <c r="K48" i="11"/>
  <c r="M19" i="4"/>
  <c r="I24" i="4" s="1"/>
  <c r="M20" i="4"/>
  <c r="J49" i="11"/>
  <c r="C27" i="4"/>
  <c r="E31" i="4"/>
  <c r="G31" i="4"/>
  <c r="M31" i="4"/>
  <c r="C34" i="4"/>
  <c r="C30" i="4"/>
  <c r="C26" i="4"/>
  <c r="E32" i="4"/>
  <c r="G32" i="4"/>
  <c r="I32" i="4"/>
  <c r="K28" i="4"/>
  <c r="C31" i="4"/>
  <c r="K31" i="4"/>
  <c r="M27" i="4"/>
  <c r="C33" i="4"/>
  <c r="C29" i="4"/>
  <c r="E25" i="4"/>
  <c r="E29" i="4"/>
  <c r="E33" i="4"/>
  <c r="G29" i="4"/>
  <c r="I29" i="4"/>
  <c r="K25" i="4"/>
  <c r="K29" i="4"/>
  <c r="K33" i="4"/>
  <c r="M29" i="4"/>
  <c r="M33" i="4"/>
  <c r="K27" i="4"/>
  <c r="C32" i="4"/>
  <c r="C25" i="4"/>
  <c r="E30" i="4"/>
  <c r="G26" i="4"/>
  <c r="G30" i="4"/>
  <c r="G34" i="4"/>
  <c r="I26" i="4"/>
  <c r="I30" i="4"/>
  <c r="I34" i="4"/>
  <c r="K26" i="4"/>
  <c r="K30" i="4"/>
  <c r="M26" i="4"/>
  <c r="N19" i="4"/>
  <c r="K24" i="4" s="1"/>
  <c r="N20" i="4"/>
  <c r="AS20" i="4"/>
  <c r="AW20" i="4"/>
  <c r="BC20" i="4"/>
  <c r="X20" i="4"/>
  <c r="AB20" i="4"/>
  <c r="AL20" i="4"/>
  <c r="AP20" i="4"/>
  <c r="BK20" i="4"/>
  <c r="BN19" i="4"/>
  <c r="BR19" i="4"/>
  <c r="K32" i="4" s="1"/>
  <c r="BP20" i="4"/>
  <c r="CB19" i="4"/>
  <c r="CF19" i="4"/>
  <c r="K34" i="4" s="1"/>
  <c r="CD20" i="4"/>
  <c r="CF20" i="4"/>
  <c r="K20" i="4"/>
  <c r="V19" i="4"/>
  <c r="M25" i="4" s="1"/>
  <c r="Y19" i="4"/>
  <c r="E26" i="4" s="1"/>
  <c r="AF19" i="4"/>
  <c r="E27" i="4" s="1"/>
  <c r="AJ19" i="4"/>
  <c r="AJ20" i="4"/>
  <c r="AO19" i="4"/>
  <c r="I28" i="4" s="1"/>
  <c r="AM19" i="4"/>
  <c r="E28" i="4" s="1"/>
  <c r="AO20" i="4"/>
  <c r="BO19" i="4"/>
  <c r="BS19" i="4"/>
  <c r="M32" i="4" s="1"/>
  <c r="CC19" i="4"/>
  <c r="E34" i="4" s="1"/>
  <c r="CG19" i="4"/>
  <c r="M34" i="4" s="1"/>
  <c r="O19" i="4"/>
  <c r="M24" i="4" s="1"/>
  <c r="O20" i="4"/>
  <c r="Y20" i="4"/>
  <c r="AC20" i="4"/>
  <c r="AH20" i="4"/>
  <c r="AQ19" i="4"/>
  <c r="M28" i="4" s="1"/>
  <c r="AQ20" i="4"/>
  <c r="J19" i="4"/>
  <c r="C24" i="4" s="1"/>
  <c r="L19" i="4"/>
  <c r="G24" i="4" s="1"/>
  <c r="J20" i="4"/>
  <c r="L20" i="4"/>
  <c r="S20" i="4"/>
  <c r="Q20" i="4"/>
  <c r="AG20" i="4"/>
  <c r="AE20" i="4"/>
  <c r="K19" i="4"/>
  <c r="E24" i="4" s="1"/>
  <c r="S19" i="4"/>
  <c r="G25" i="4" s="1"/>
  <c r="AG19" i="4"/>
  <c r="G27" i="4" s="1"/>
  <c r="AI20" i="4"/>
  <c r="T19" i="4"/>
  <c r="I25" i="4" s="1"/>
  <c r="T20" i="4"/>
  <c r="R20" i="4"/>
  <c r="V20" i="4"/>
  <c r="AH19" i="4"/>
  <c r="I27" i="4" s="1"/>
  <c r="R5" i="18"/>
  <c r="U4" i="18"/>
  <c r="O5" i="18"/>
  <c r="I5" i="18"/>
  <c r="L4" i="19"/>
  <c r="I5" i="19"/>
  <c r="L5" i="18"/>
  <c r="H48" i="18"/>
  <c r="L48" i="18"/>
  <c r="K48" i="19"/>
  <c r="K49" i="19"/>
  <c r="R3" i="20"/>
  <c r="T3" i="20"/>
  <c r="S3" i="20"/>
  <c r="J48" i="19"/>
  <c r="G3" i="20"/>
  <c r="U4" i="20"/>
  <c r="L5" i="20"/>
  <c r="L4" i="21"/>
  <c r="O5" i="20"/>
  <c r="O5" i="14"/>
  <c r="R4" i="14"/>
  <c r="I5" i="14"/>
  <c r="O4" i="15"/>
  <c r="L5" i="15"/>
  <c r="L5" i="14"/>
  <c r="R3" i="16"/>
  <c r="I5" i="16"/>
  <c r="I3" i="17"/>
  <c r="K3" i="17"/>
  <c r="L5" i="16"/>
  <c r="U4" i="16"/>
  <c r="O5" i="16"/>
  <c r="I5" i="15"/>
  <c r="K48" i="16"/>
  <c r="J48" i="17"/>
  <c r="I5" i="12"/>
  <c r="L4" i="12"/>
  <c r="J48" i="13"/>
  <c r="R5" i="13"/>
  <c r="U4" i="13"/>
  <c r="I3" i="13"/>
  <c r="L5" i="13"/>
  <c r="K3" i="11"/>
  <c r="J3" i="11"/>
  <c r="J48" i="11"/>
  <c r="L4" i="11"/>
  <c r="I5" i="10"/>
  <c r="L5" i="10"/>
  <c r="O5" i="10"/>
  <c r="R5" i="10"/>
  <c r="U5" i="10"/>
  <c r="X5" i="10"/>
  <c r="AA5" i="10"/>
  <c r="AD5" i="10"/>
  <c r="AG5" i="10"/>
  <c r="AJ5" i="10"/>
  <c r="AM5" i="10"/>
  <c r="AP5" i="10"/>
  <c r="AS5" i="10"/>
  <c r="AV5" i="10"/>
  <c r="AY5" i="10"/>
  <c r="BB5" i="10"/>
  <c r="BE5" i="10"/>
  <c r="BH5" i="10"/>
  <c r="BK5" i="10"/>
  <c r="BN5" i="10"/>
  <c r="BQ5" i="10"/>
  <c r="BT5" i="10"/>
  <c r="BW5" i="10"/>
  <c r="BZ5" i="10"/>
  <c r="CC5" i="10"/>
  <c r="CF5" i="10"/>
  <c r="CI5" i="10"/>
  <c r="CL5" i="10"/>
  <c r="CO5" i="10"/>
  <c r="CR5" i="10"/>
  <c r="A1" i="10"/>
  <c r="F5" i="10"/>
  <c r="L5" i="17" l="1"/>
  <c r="O4" i="17"/>
  <c r="K3" i="13"/>
  <c r="O3" i="13"/>
  <c r="P3" i="13"/>
  <c r="Q3" i="20"/>
  <c r="P3" i="20"/>
  <c r="O3" i="20"/>
  <c r="J3" i="19"/>
  <c r="I3" i="19"/>
  <c r="K3" i="19"/>
  <c r="N3" i="20"/>
  <c r="M3" i="20"/>
  <c r="L3" i="20"/>
  <c r="U5" i="20"/>
  <c r="X4" i="20"/>
  <c r="N3" i="18"/>
  <c r="M3" i="18"/>
  <c r="L3" i="18"/>
  <c r="K3" i="18"/>
  <c r="I3" i="18"/>
  <c r="J3" i="18"/>
  <c r="O3" i="18"/>
  <c r="P3" i="18"/>
  <c r="Q3" i="18"/>
  <c r="U5" i="18"/>
  <c r="X4" i="18"/>
  <c r="O4" i="21"/>
  <c r="L5" i="21"/>
  <c r="O4" i="19"/>
  <c r="L5" i="19"/>
  <c r="S3" i="18"/>
  <c r="R3" i="18"/>
  <c r="T3" i="18"/>
  <c r="M3" i="16"/>
  <c r="L3" i="16"/>
  <c r="N3" i="16"/>
  <c r="J3" i="15"/>
  <c r="I3" i="15"/>
  <c r="K3" i="15"/>
  <c r="U5" i="16"/>
  <c r="X4" i="16"/>
  <c r="N3" i="15"/>
  <c r="M3" i="15"/>
  <c r="L3" i="15"/>
  <c r="R4" i="15"/>
  <c r="O5" i="15"/>
  <c r="I3" i="14"/>
  <c r="K3" i="14"/>
  <c r="J3" i="14"/>
  <c r="I3" i="16"/>
  <c r="K3" i="16"/>
  <c r="J3" i="16"/>
  <c r="R5" i="14"/>
  <c r="U4" i="14"/>
  <c r="Q3" i="14"/>
  <c r="P3" i="14"/>
  <c r="O3" i="14"/>
  <c r="Q3" i="16"/>
  <c r="P3" i="16"/>
  <c r="O3" i="16"/>
  <c r="M3" i="14"/>
  <c r="L3" i="14"/>
  <c r="N3" i="14"/>
  <c r="J3" i="12"/>
  <c r="I3" i="12"/>
  <c r="K3" i="12"/>
  <c r="L5" i="12"/>
  <c r="O4" i="12"/>
  <c r="X4" i="13"/>
  <c r="U5" i="13"/>
  <c r="M3" i="13"/>
  <c r="L3" i="13"/>
  <c r="N3" i="13"/>
  <c r="T3" i="13"/>
  <c r="S3" i="13"/>
  <c r="R3" i="13"/>
  <c r="O4" i="11"/>
  <c r="L5" i="11"/>
  <c r="H3" i="10"/>
  <c r="G3" i="10"/>
  <c r="F3" i="10"/>
  <c r="H37" i="10"/>
  <c r="I37" i="10"/>
  <c r="J37" i="10"/>
  <c r="K37" i="10"/>
  <c r="L37" i="10"/>
  <c r="M37" i="10"/>
  <c r="H38" i="10"/>
  <c r="I38" i="10"/>
  <c r="J38" i="10"/>
  <c r="K38" i="10"/>
  <c r="L38" i="10"/>
  <c r="M38" i="10"/>
  <c r="H39" i="10"/>
  <c r="I39" i="10"/>
  <c r="J39" i="10"/>
  <c r="K39" i="10"/>
  <c r="L39" i="10"/>
  <c r="M39" i="10"/>
  <c r="H40" i="10"/>
  <c r="I40" i="10"/>
  <c r="J40" i="10"/>
  <c r="K40" i="10"/>
  <c r="L40" i="10"/>
  <c r="M40" i="10"/>
  <c r="H41" i="10"/>
  <c r="I41" i="10"/>
  <c r="J41" i="10"/>
  <c r="K41" i="10"/>
  <c r="L41" i="10"/>
  <c r="M41" i="10"/>
  <c r="H42" i="10"/>
  <c r="I42" i="10"/>
  <c r="J42" i="10"/>
  <c r="K42" i="10"/>
  <c r="L42" i="10"/>
  <c r="M42" i="10"/>
  <c r="H43" i="10"/>
  <c r="I43" i="10"/>
  <c r="J43" i="10"/>
  <c r="K43" i="10"/>
  <c r="L43" i="10"/>
  <c r="M43" i="10"/>
  <c r="H44" i="10"/>
  <c r="I44" i="10"/>
  <c r="J44" i="10"/>
  <c r="K44" i="10"/>
  <c r="L44" i="10"/>
  <c r="M44" i="10"/>
  <c r="H45" i="10"/>
  <c r="I45" i="10"/>
  <c r="J45" i="10"/>
  <c r="K45" i="10"/>
  <c r="L45" i="10"/>
  <c r="M45" i="10"/>
  <c r="H46" i="10"/>
  <c r="I46" i="10"/>
  <c r="J46" i="10"/>
  <c r="K46" i="10"/>
  <c r="L46" i="10"/>
  <c r="M46" i="10"/>
  <c r="M36" i="10"/>
  <c r="L36" i="10"/>
  <c r="K36" i="10"/>
  <c r="J36" i="10"/>
  <c r="I36" i="10"/>
  <c r="H36" i="10"/>
  <c r="I47" i="10"/>
  <c r="J47" i="10"/>
  <c r="K47" i="10"/>
  <c r="L47" i="10"/>
  <c r="M47" i="10"/>
  <c r="H47" i="10"/>
  <c r="N3" i="17" l="1"/>
  <c r="L3" i="17"/>
  <c r="M3" i="17"/>
  <c r="O5" i="17"/>
  <c r="R4" i="17"/>
  <c r="H49" i="10"/>
  <c r="H48" i="10"/>
  <c r="W3" i="18"/>
  <c r="U3" i="18"/>
  <c r="V3" i="18"/>
  <c r="L3" i="19"/>
  <c r="N3" i="19"/>
  <c r="M3" i="19"/>
  <c r="AA4" i="18"/>
  <c r="X5" i="18"/>
  <c r="V3" i="20"/>
  <c r="U3" i="20"/>
  <c r="W3" i="20"/>
  <c r="O5" i="19"/>
  <c r="R4" i="19"/>
  <c r="M3" i="21"/>
  <c r="L3" i="21"/>
  <c r="N3" i="21"/>
  <c r="O5" i="21"/>
  <c r="R4" i="21"/>
  <c r="AA4" i="20"/>
  <c r="X5" i="20"/>
  <c r="X4" i="14"/>
  <c r="U5" i="14"/>
  <c r="R5" i="15"/>
  <c r="U4" i="15"/>
  <c r="U3" i="16"/>
  <c r="W3" i="16"/>
  <c r="V3" i="16"/>
  <c r="T3" i="14"/>
  <c r="S3" i="14"/>
  <c r="R3" i="14"/>
  <c r="Q3" i="15"/>
  <c r="O3" i="15"/>
  <c r="P3" i="15"/>
  <c r="AA4" i="16"/>
  <c r="X5" i="16"/>
  <c r="AA4" i="13"/>
  <c r="X5" i="13"/>
  <c r="O5" i="12"/>
  <c r="R4" i="12"/>
  <c r="U3" i="13"/>
  <c r="W3" i="13"/>
  <c r="V3" i="13"/>
  <c r="M3" i="12"/>
  <c r="L3" i="12"/>
  <c r="N3" i="12"/>
  <c r="M3" i="11"/>
  <c r="L3" i="11"/>
  <c r="N3" i="11"/>
  <c r="O5" i="11"/>
  <c r="R4" i="11"/>
  <c r="L48" i="10"/>
  <c r="L49" i="10"/>
  <c r="M48" i="10"/>
  <c r="K49" i="10"/>
  <c r="K48" i="10"/>
  <c r="M49" i="10"/>
  <c r="J49" i="10"/>
  <c r="J48" i="10"/>
  <c r="I49" i="10"/>
  <c r="I48" i="10"/>
  <c r="I4" i="10"/>
  <c r="P3" i="17" l="1"/>
  <c r="O3" i="17"/>
  <c r="Q3" i="17"/>
  <c r="R5" i="17"/>
  <c r="U4" i="17"/>
  <c r="R5" i="19"/>
  <c r="U4" i="19"/>
  <c r="Y3" i="18"/>
  <c r="Z3" i="18"/>
  <c r="X3" i="18"/>
  <c r="P3" i="19"/>
  <c r="Q3" i="19"/>
  <c r="O3" i="19"/>
  <c r="AA5" i="18"/>
  <c r="AD4" i="18"/>
  <c r="AD4" i="20"/>
  <c r="AA5" i="20"/>
  <c r="U4" i="21"/>
  <c r="R5" i="21"/>
  <c r="Z3" i="20"/>
  <c r="Y3" i="20"/>
  <c r="X3" i="20"/>
  <c r="Q3" i="21"/>
  <c r="P3" i="21"/>
  <c r="O3" i="21"/>
  <c r="U3" i="14"/>
  <c r="W3" i="14"/>
  <c r="V3" i="14"/>
  <c r="Y3" i="16"/>
  <c r="X3" i="16"/>
  <c r="Z3" i="16"/>
  <c r="U5" i="15"/>
  <c r="X4" i="15"/>
  <c r="AA4" i="14"/>
  <c r="X5" i="14"/>
  <c r="R3" i="15"/>
  <c r="S3" i="15"/>
  <c r="T3" i="15"/>
  <c r="AD4" i="16"/>
  <c r="AA5" i="16"/>
  <c r="AA5" i="13"/>
  <c r="AD4" i="13"/>
  <c r="Y3" i="13"/>
  <c r="X3" i="13"/>
  <c r="Z3" i="13"/>
  <c r="R5" i="12"/>
  <c r="U4" i="12"/>
  <c r="Q3" i="12"/>
  <c r="P3" i="12"/>
  <c r="O3" i="12"/>
  <c r="Q3" i="11"/>
  <c r="P3" i="11"/>
  <c r="O3" i="11"/>
  <c r="R5" i="11"/>
  <c r="U4" i="11"/>
  <c r="L4" i="10"/>
  <c r="D58" i="10"/>
  <c r="A24" i="10"/>
  <c r="A22" i="10"/>
  <c r="A20" i="10"/>
  <c r="A18" i="10"/>
  <c r="A16" i="10"/>
  <c r="A14" i="10"/>
  <c r="R3" i="17" l="1"/>
  <c r="T3" i="17"/>
  <c r="S3" i="17"/>
  <c r="X4" i="17"/>
  <c r="U5" i="17"/>
  <c r="T3" i="21"/>
  <c r="S3" i="21"/>
  <c r="R3" i="21"/>
  <c r="AC3" i="20"/>
  <c r="AB3" i="20"/>
  <c r="AA3" i="20"/>
  <c r="X4" i="21"/>
  <c r="U5" i="21"/>
  <c r="AD5" i="20"/>
  <c r="AG4" i="20"/>
  <c r="X4" i="19"/>
  <c r="U5" i="19"/>
  <c r="AD5" i="18"/>
  <c r="AG4" i="18"/>
  <c r="T3" i="19"/>
  <c r="R3" i="19"/>
  <c r="S3" i="19"/>
  <c r="AC3" i="18"/>
  <c r="AB3" i="18"/>
  <c r="AA3" i="18"/>
  <c r="Y3" i="14"/>
  <c r="X3" i="14"/>
  <c r="Z3" i="14"/>
  <c r="AA5" i="14"/>
  <c r="AD4" i="14"/>
  <c r="V3" i="15"/>
  <c r="U3" i="15"/>
  <c r="W3" i="15"/>
  <c r="AD5" i="16"/>
  <c r="AG4" i="16"/>
  <c r="AC3" i="16"/>
  <c r="AB3" i="16"/>
  <c r="AA3" i="16"/>
  <c r="AA4" i="15"/>
  <c r="X5" i="15"/>
  <c r="T3" i="12"/>
  <c r="S3" i="12"/>
  <c r="R3" i="12"/>
  <c r="AD5" i="13"/>
  <c r="AG4" i="13"/>
  <c r="U5" i="12"/>
  <c r="X4" i="12"/>
  <c r="AC3" i="13"/>
  <c r="AB3" i="13"/>
  <c r="AA3" i="13"/>
  <c r="T3" i="11"/>
  <c r="R3" i="11"/>
  <c r="S3" i="11"/>
  <c r="X4" i="11"/>
  <c r="U5" i="11"/>
  <c r="I3" i="10"/>
  <c r="J3" i="10"/>
  <c r="K3" i="10"/>
  <c r="L3" i="10"/>
  <c r="M3" i="10"/>
  <c r="N3" i="10"/>
  <c r="O4" i="10"/>
  <c r="U3" i="17" l="1"/>
  <c r="W3" i="17"/>
  <c r="V3" i="17"/>
  <c r="AA4" i="17"/>
  <c r="X5" i="17"/>
  <c r="AJ4" i="18"/>
  <c r="AG5" i="18"/>
  <c r="AA4" i="19"/>
  <c r="X5" i="19"/>
  <c r="AG5" i="20"/>
  <c r="AJ4" i="20"/>
  <c r="AE3" i="18"/>
  <c r="AD3" i="18"/>
  <c r="AF3" i="18"/>
  <c r="AD3" i="20"/>
  <c r="AF3" i="20"/>
  <c r="AE3" i="20"/>
  <c r="U3" i="21"/>
  <c r="W3" i="21"/>
  <c r="V3" i="21"/>
  <c r="V3" i="19"/>
  <c r="U3" i="19"/>
  <c r="W3" i="19"/>
  <c r="X5" i="21"/>
  <c r="AA4" i="21"/>
  <c r="AC3" i="14"/>
  <c r="AB3" i="14"/>
  <c r="AA3" i="14"/>
  <c r="AD4" i="15"/>
  <c r="AA5" i="15"/>
  <c r="AG5" i="16"/>
  <c r="AJ4" i="16"/>
  <c r="Z3" i="15"/>
  <c r="Y3" i="15"/>
  <c r="X3" i="15"/>
  <c r="AF3" i="16"/>
  <c r="AE3" i="16"/>
  <c r="AD3" i="16"/>
  <c r="AD5" i="14"/>
  <c r="AG4" i="14"/>
  <c r="X5" i="12"/>
  <c r="AA4" i="12"/>
  <c r="AF3" i="13"/>
  <c r="AE3" i="13"/>
  <c r="AD3" i="13"/>
  <c r="V3" i="12"/>
  <c r="U3" i="12"/>
  <c r="W3" i="12"/>
  <c r="AJ4" i="13"/>
  <c r="AG5" i="13"/>
  <c r="AA4" i="11"/>
  <c r="X5" i="11"/>
  <c r="U3" i="11"/>
  <c r="W3" i="11"/>
  <c r="V3" i="11"/>
  <c r="R4" i="10"/>
  <c r="U4" i="10"/>
  <c r="AD4" i="17" l="1"/>
  <c r="AA5" i="17"/>
  <c r="Y3" i="17"/>
  <c r="Z3" i="17"/>
  <c r="X3" i="17"/>
  <c r="AM4" i="20"/>
  <c r="AJ5" i="20"/>
  <c r="AA5" i="19"/>
  <c r="AD4" i="19"/>
  <c r="AA5" i="21"/>
  <c r="AD4" i="21"/>
  <c r="AH3" i="20"/>
  <c r="AG3" i="20"/>
  <c r="AI3" i="20"/>
  <c r="AG3" i="18"/>
  <c r="AH3" i="18"/>
  <c r="AI3" i="18"/>
  <c r="Y3" i="21"/>
  <c r="X3" i="21"/>
  <c r="Z3" i="21"/>
  <c r="AM4" i="18"/>
  <c r="AJ5" i="18"/>
  <c r="X3" i="19"/>
  <c r="Z3" i="19"/>
  <c r="Y3" i="19"/>
  <c r="AF3" i="14"/>
  <c r="AE3" i="14"/>
  <c r="AD3" i="14"/>
  <c r="AG3" i="16"/>
  <c r="AI3" i="16"/>
  <c r="AH3" i="16"/>
  <c r="AC3" i="15"/>
  <c r="AA3" i="15"/>
  <c r="AB3" i="15"/>
  <c r="AD5" i="15"/>
  <c r="AG4" i="15"/>
  <c r="AJ4" i="14"/>
  <c r="AG5" i="14"/>
  <c r="AM4" i="16"/>
  <c r="AJ5" i="16"/>
  <c r="AM4" i="13"/>
  <c r="AJ5" i="13"/>
  <c r="AA5" i="12"/>
  <c r="AD4" i="12"/>
  <c r="AG3" i="13"/>
  <c r="AI3" i="13"/>
  <c r="AH3" i="13"/>
  <c r="Y3" i="12"/>
  <c r="X3" i="12"/>
  <c r="Z3" i="12"/>
  <c r="Y3" i="11"/>
  <c r="X3" i="11"/>
  <c r="Z3" i="11"/>
  <c r="AA5" i="11"/>
  <c r="AD4" i="11"/>
  <c r="P3" i="10"/>
  <c r="Q3" i="10"/>
  <c r="O3" i="10"/>
  <c r="T3" i="10"/>
  <c r="R3" i="10"/>
  <c r="S3" i="10"/>
  <c r="X4" i="10"/>
  <c r="AA3" i="17" l="1"/>
  <c r="AC3" i="17"/>
  <c r="AB3" i="17"/>
  <c r="AD5" i="17"/>
  <c r="AG4" i="17"/>
  <c r="AM5" i="18"/>
  <c r="AP4" i="18"/>
  <c r="AD5" i="19"/>
  <c r="AG4" i="19"/>
  <c r="AK3" i="18"/>
  <c r="AL3" i="18"/>
  <c r="AJ3" i="18"/>
  <c r="AG4" i="21"/>
  <c r="AD5" i="21"/>
  <c r="AC3" i="21"/>
  <c r="AB3" i="21"/>
  <c r="AA3" i="21"/>
  <c r="AL3" i="20"/>
  <c r="AK3" i="20"/>
  <c r="AJ3" i="20"/>
  <c r="AB3" i="19"/>
  <c r="AC3" i="19"/>
  <c r="AA3" i="19"/>
  <c r="AP4" i="20"/>
  <c r="AM5" i="20"/>
  <c r="AG3" i="14"/>
  <c r="AI3" i="14"/>
  <c r="AH3" i="14"/>
  <c r="AM4" i="14"/>
  <c r="AJ5" i="14"/>
  <c r="AP4" i="16"/>
  <c r="AM5" i="16"/>
  <c r="AK3" i="16"/>
  <c r="AJ3" i="16"/>
  <c r="AL3" i="16"/>
  <c r="AG5" i="15"/>
  <c r="AJ4" i="15"/>
  <c r="AD3" i="15"/>
  <c r="AE3" i="15"/>
  <c r="AF3" i="15"/>
  <c r="AK3" i="13"/>
  <c r="AJ3" i="13"/>
  <c r="AL3" i="13"/>
  <c r="AD5" i="12"/>
  <c r="AG4" i="12"/>
  <c r="AC3" i="12"/>
  <c r="AB3" i="12"/>
  <c r="AA3" i="12"/>
  <c r="AM5" i="13"/>
  <c r="AP4" i="13"/>
  <c r="AD5" i="11"/>
  <c r="AG4" i="11"/>
  <c r="AC3" i="11"/>
  <c r="AB3" i="11"/>
  <c r="AA3" i="11"/>
  <c r="U3" i="10"/>
  <c r="V3" i="10"/>
  <c r="W3" i="10"/>
  <c r="AA4" i="10"/>
  <c r="AD3" i="17" l="1"/>
  <c r="AF3" i="17"/>
  <c r="AE3" i="17"/>
  <c r="AJ4" i="17"/>
  <c r="AG5" i="17"/>
  <c r="AP5" i="20"/>
  <c r="AS4" i="20"/>
  <c r="AJ4" i="19"/>
  <c r="AG5" i="19"/>
  <c r="AF3" i="21"/>
  <c r="AE3" i="21"/>
  <c r="AD3" i="21"/>
  <c r="AF3" i="19"/>
  <c r="AD3" i="19"/>
  <c r="AE3" i="19"/>
  <c r="AP5" i="18"/>
  <c r="AS4" i="18"/>
  <c r="AO3" i="20"/>
  <c r="AN3" i="20"/>
  <c r="AM3" i="20"/>
  <c r="AJ4" i="21"/>
  <c r="AG5" i="21"/>
  <c r="AO3" i="18"/>
  <c r="AM3" i="18"/>
  <c r="AN3" i="18"/>
  <c r="AO3" i="16"/>
  <c r="AN3" i="16"/>
  <c r="AM3" i="16"/>
  <c r="AP5" i="16"/>
  <c r="AS4" i="16"/>
  <c r="AH3" i="15"/>
  <c r="AG3" i="15"/>
  <c r="AI3" i="15"/>
  <c r="AK3" i="14"/>
  <c r="AJ3" i="14"/>
  <c r="AL3" i="14"/>
  <c r="AM4" i="15"/>
  <c r="AJ5" i="15"/>
  <c r="AM5" i="14"/>
  <c r="AP4" i="14"/>
  <c r="AP5" i="13"/>
  <c r="AS4" i="13"/>
  <c r="AG5" i="12"/>
  <c r="AJ4" i="12"/>
  <c r="AO3" i="13"/>
  <c r="AN3" i="13"/>
  <c r="AM3" i="13"/>
  <c r="AF3" i="12"/>
  <c r="AD3" i="12"/>
  <c r="AE3" i="12"/>
  <c r="AF3" i="11"/>
  <c r="AE3" i="11"/>
  <c r="AD3" i="11"/>
  <c r="AJ4" i="11"/>
  <c r="AG5" i="11"/>
  <c r="X3" i="10"/>
  <c r="Y3" i="10"/>
  <c r="Z3" i="10"/>
  <c r="AD4" i="10"/>
  <c r="AM4" i="17" l="1"/>
  <c r="AJ5" i="17"/>
  <c r="AG3" i="17"/>
  <c r="AI3" i="17"/>
  <c r="AH3" i="17"/>
  <c r="AM4" i="21"/>
  <c r="AJ5" i="21"/>
  <c r="AM4" i="19"/>
  <c r="AJ5" i="19"/>
  <c r="AG3" i="21"/>
  <c r="AI3" i="21"/>
  <c r="AH3" i="21"/>
  <c r="AV4" i="18"/>
  <c r="AS5" i="18"/>
  <c r="AS5" i="20"/>
  <c r="AV4" i="20"/>
  <c r="AR3" i="18"/>
  <c r="AQ3" i="18"/>
  <c r="AP3" i="18"/>
  <c r="AH3" i="19"/>
  <c r="AG3" i="19"/>
  <c r="AI3" i="19"/>
  <c r="AP3" i="20"/>
  <c r="AR3" i="20"/>
  <c r="AQ3" i="20"/>
  <c r="AP4" i="15"/>
  <c r="AM5" i="15"/>
  <c r="AP5" i="14"/>
  <c r="AS4" i="14"/>
  <c r="AP3" i="16"/>
  <c r="AR3" i="16"/>
  <c r="AQ3" i="16"/>
  <c r="AO3" i="14"/>
  <c r="AN3" i="14"/>
  <c r="AM3" i="14"/>
  <c r="AL3" i="15"/>
  <c r="AK3" i="15"/>
  <c r="AJ3" i="15"/>
  <c r="AS5" i="16"/>
  <c r="AV4" i="16"/>
  <c r="AH3" i="12"/>
  <c r="AG3" i="12"/>
  <c r="AI3" i="12"/>
  <c r="AM4" i="12"/>
  <c r="AJ5" i="12"/>
  <c r="AV4" i="13"/>
  <c r="AS5" i="13"/>
  <c r="AR3" i="13"/>
  <c r="AQ3" i="13"/>
  <c r="AP3" i="13"/>
  <c r="AM4" i="11"/>
  <c r="AJ5" i="11"/>
  <c r="AG3" i="11"/>
  <c r="AI3" i="11"/>
  <c r="AH3" i="11"/>
  <c r="AB3" i="10"/>
  <c r="AC3" i="10"/>
  <c r="AA3" i="10"/>
  <c r="AG4" i="10"/>
  <c r="AM5" i="17" l="1"/>
  <c r="AP4" i="17"/>
  <c r="AK3" i="17"/>
  <c r="AJ3" i="17"/>
  <c r="AL3" i="17"/>
  <c r="AT3" i="20"/>
  <c r="AS3" i="20"/>
  <c r="AU3" i="20"/>
  <c r="AS3" i="18"/>
  <c r="AU3" i="18"/>
  <c r="AT3" i="18"/>
  <c r="AY4" i="20"/>
  <c r="AV5" i="20"/>
  <c r="AY4" i="18"/>
  <c r="AV5" i="18"/>
  <c r="AJ3" i="19"/>
  <c r="AL3" i="19"/>
  <c r="AK3" i="19"/>
  <c r="AM5" i="19"/>
  <c r="AP4" i="19"/>
  <c r="AK3" i="21"/>
  <c r="AJ3" i="21"/>
  <c r="AL3" i="21"/>
  <c r="AM5" i="21"/>
  <c r="AP4" i="21"/>
  <c r="AY4" i="16"/>
  <c r="AV5" i="16"/>
  <c r="AV4" i="14"/>
  <c r="AS5" i="14"/>
  <c r="AT3" i="16"/>
  <c r="AS3" i="16"/>
  <c r="AU3" i="16"/>
  <c r="AR3" i="14"/>
  <c r="AQ3" i="14"/>
  <c r="AP3" i="14"/>
  <c r="AO3" i="15"/>
  <c r="AM3" i="15"/>
  <c r="AN3" i="15"/>
  <c r="AP5" i="15"/>
  <c r="AS4" i="15"/>
  <c r="AJ3" i="12"/>
  <c r="AK3" i="12"/>
  <c r="AL3" i="12"/>
  <c r="AM5" i="12"/>
  <c r="AP4" i="12"/>
  <c r="AS3" i="13"/>
  <c r="AU3" i="13"/>
  <c r="AT3" i="13"/>
  <c r="AY4" i="13"/>
  <c r="AV5" i="13"/>
  <c r="AK3" i="11"/>
  <c r="AJ3" i="11"/>
  <c r="AL3" i="11"/>
  <c r="AM5" i="11"/>
  <c r="AP4" i="11"/>
  <c r="AF3" i="10"/>
  <c r="AD3" i="10"/>
  <c r="AE3" i="10"/>
  <c r="AJ4" i="10"/>
  <c r="AP5" i="17" l="1"/>
  <c r="AS4" i="17"/>
  <c r="AN3" i="17"/>
  <c r="AM3" i="17"/>
  <c r="AO3" i="17"/>
  <c r="BB4" i="20"/>
  <c r="AY5" i="20"/>
  <c r="AY5" i="18"/>
  <c r="BB4" i="18"/>
  <c r="AP5" i="21"/>
  <c r="AS4" i="21"/>
  <c r="AP5" i="19"/>
  <c r="AS4" i="19"/>
  <c r="AN3" i="19"/>
  <c r="AO3" i="19"/>
  <c r="AM3" i="19"/>
  <c r="AX3" i="20"/>
  <c r="AW3" i="20"/>
  <c r="AV3" i="20"/>
  <c r="AO3" i="21"/>
  <c r="AN3" i="21"/>
  <c r="AM3" i="21"/>
  <c r="AW3" i="18"/>
  <c r="AX3" i="18"/>
  <c r="AV3" i="18"/>
  <c r="AX3" i="16"/>
  <c r="AW3" i="16"/>
  <c r="AV3" i="16"/>
  <c r="AS5" i="15"/>
  <c r="AV4" i="15"/>
  <c r="AP3" i="15"/>
  <c r="AQ3" i="15"/>
  <c r="AR3" i="15"/>
  <c r="BB4" i="16"/>
  <c r="AY5" i="16"/>
  <c r="AS3" i="14"/>
  <c r="AU3" i="14"/>
  <c r="AT3" i="14"/>
  <c r="AY4" i="14"/>
  <c r="AV5" i="14"/>
  <c r="AW3" i="13"/>
  <c r="AV3" i="13"/>
  <c r="AX3" i="13"/>
  <c r="AN3" i="12"/>
  <c r="AM3" i="12"/>
  <c r="AO3" i="12"/>
  <c r="AY5" i="13"/>
  <c r="BB4" i="13"/>
  <c r="AP5" i="12"/>
  <c r="AS4" i="12"/>
  <c r="AO3" i="11"/>
  <c r="AN3" i="11"/>
  <c r="AM3" i="11"/>
  <c r="AP5" i="11"/>
  <c r="AS4" i="11"/>
  <c r="AG3" i="10"/>
  <c r="AH3" i="10"/>
  <c r="AI3" i="10"/>
  <c r="AM4" i="10"/>
  <c r="AV4" i="17" l="1"/>
  <c r="AS5" i="17"/>
  <c r="AP3" i="17"/>
  <c r="AR3" i="17"/>
  <c r="AQ3" i="17"/>
  <c r="AR3" i="19"/>
  <c r="AP3" i="19"/>
  <c r="AQ3" i="19"/>
  <c r="BA3" i="20"/>
  <c r="AZ3" i="20"/>
  <c r="AY3" i="20"/>
  <c r="AV4" i="21"/>
  <c r="AS5" i="21"/>
  <c r="BB5" i="20"/>
  <c r="BE4" i="20"/>
  <c r="AR3" i="21"/>
  <c r="AQ3" i="21"/>
  <c r="AP3" i="21"/>
  <c r="BA3" i="18"/>
  <c r="AZ3" i="18"/>
  <c r="AY3" i="18"/>
  <c r="AV4" i="19"/>
  <c r="AS5" i="19"/>
  <c r="BB5" i="18"/>
  <c r="BE4" i="18"/>
  <c r="AT3" i="15"/>
  <c r="AS3" i="15"/>
  <c r="AU3" i="15"/>
  <c r="AW3" i="14"/>
  <c r="AV3" i="14"/>
  <c r="AX3" i="14"/>
  <c r="BA3" i="16"/>
  <c r="AZ3" i="16"/>
  <c r="AY3" i="16"/>
  <c r="AY5" i="14"/>
  <c r="BB4" i="14"/>
  <c r="BB5" i="16"/>
  <c r="BE4" i="16"/>
  <c r="AY4" i="15"/>
  <c r="AV5" i="15"/>
  <c r="BB5" i="13"/>
  <c r="BE4" i="13"/>
  <c r="BA3" i="13"/>
  <c r="AZ3" i="13"/>
  <c r="AY3" i="13"/>
  <c r="AS5" i="12"/>
  <c r="AV4" i="12"/>
  <c r="AR3" i="12"/>
  <c r="AQ3" i="12"/>
  <c r="AP3" i="12"/>
  <c r="AR3" i="11"/>
  <c r="AQ3" i="11"/>
  <c r="AP3" i="11"/>
  <c r="AV4" i="11"/>
  <c r="AS5" i="11"/>
  <c r="AJ3" i="10"/>
  <c r="AK3" i="10"/>
  <c r="AL3" i="10"/>
  <c r="AP4" i="10"/>
  <c r="AS3" i="17" l="1"/>
  <c r="AU3" i="17"/>
  <c r="AT3" i="17"/>
  <c r="AY4" i="17"/>
  <c r="AV5" i="17"/>
  <c r="AT3" i="19"/>
  <c r="AS3" i="19"/>
  <c r="AU3" i="19"/>
  <c r="AS3" i="21"/>
  <c r="AU3" i="21"/>
  <c r="AT3" i="21"/>
  <c r="AY4" i="19"/>
  <c r="AV5" i="19"/>
  <c r="AY4" i="21"/>
  <c r="AV5" i="21"/>
  <c r="BH4" i="18"/>
  <c r="BE5" i="18"/>
  <c r="BE5" i="20"/>
  <c r="BH4" i="20"/>
  <c r="BC3" i="18"/>
  <c r="BB3" i="18"/>
  <c r="BD3" i="18"/>
  <c r="BB3" i="20"/>
  <c r="BD3" i="20"/>
  <c r="BC3" i="20"/>
  <c r="AX3" i="15"/>
  <c r="AW3" i="15"/>
  <c r="AV3" i="15"/>
  <c r="BB5" i="14"/>
  <c r="BE4" i="14"/>
  <c r="BB4" i="15"/>
  <c r="AY5" i="15"/>
  <c r="BA3" i="14"/>
  <c r="AZ3" i="14"/>
  <c r="AY3" i="14"/>
  <c r="BE5" i="16"/>
  <c r="BH4" i="16"/>
  <c r="BB3" i="16"/>
  <c r="BD3" i="16"/>
  <c r="BC3" i="16"/>
  <c r="AV5" i="12"/>
  <c r="AY4" i="12"/>
  <c r="AT3" i="12"/>
  <c r="AS3" i="12"/>
  <c r="AU3" i="12"/>
  <c r="BH4" i="13"/>
  <c r="BE5" i="13"/>
  <c r="BD3" i="13"/>
  <c r="BC3" i="13"/>
  <c r="BB3" i="13"/>
  <c r="AY4" i="11"/>
  <c r="AV5" i="11"/>
  <c r="AS3" i="11"/>
  <c r="AU3" i="11"/>
  <c r="AT3" i="11"/>
  <c r="AN3" i="10"/>
  <c r="AO3" i="10"/>
  <c r="AM3" i="10"/>
  <c r="AS4" i="10"/>
  <c r="AY5" i="17" l="1"/>
  <c r="BB4" i="17"/>
  <c r="AW3" i="17"/>
  <c r="AV3" i="17"/>
  <c r="AX3" i="17"/>
  <c r="AW3" i="21"/>
  <c r="AV3" i="21"/>
  <c r="AX3" i="21"/>
  <c r="BE3" i="18"/>
  <c r="BG3" i="18"/>
  <c r="BF3" i="18"/>
  <c r="AV3" i="19"/>
  <c r="AX3" i="19"/>
  <c r="AW3" i="19"/>
  <c r="BF3" i="20"/>
  <c r="BE3" i="20"/>
  <c r="BG3" i="20"/>
  <c r="BK4" i="20"/>
  <c r="BH5" i="20"/>
  <c r="BK4" i="18"/>
  <c r="BH5" i="18"/>
  <c r="AY5" i="19"/>
  <c r="BB4" i="19"/>
  <c r="AY5" i="21"/>
  <c r="BB4" i="21"/>
  <c r="BD3" i="14"/>
  <c r="BC3" i="14"/>
  <c r="BB3" i="14"/>
  <c r="BA3" i="15"/>
  <c r="AY3" i="15"/>
  <c r="AZ3" i="15"/>
  <c r="BK4" i="16"/>
  <c r="BH5" i="16"/>
  <c r="BF3" i="16"/>
  <c r="BE3" i="16"/>
  <c r="BG3" i="16"/>
  <c r="BB5" i="15"/>
  <c r="BE4" i="15"/>
  <c r="BH4" i="14"/>
  <c r="BE5" i="14"/>
  <c r="BK4" i="13"/>
  <c r="BH5" i="13"/>
  <c r="AY5" i="12"/>
  <c r="BB4" i="12"/>
  <c r="BE3" i="13"/>
  <c r="BG3" i="13"/>
  <c r="BF3" i="13"/>
  <c r="AV3" i="12"/>
  <c r="AX3" i="12"/>
  <c r="AW3" i="12"/>
  <c r="AW3" i="11"/>
  <c r="AV3" i="11"/>
  <c r="AX3" i="11"/>
  <c r="AY5" i="11"/>
  <c r="BB4" i="11"/>
  <c r="AR3" i="10"/>
  <c r="AP3" i="10"/>
  <c r="AQ3" i="10"/>
  <c r="AV4" i="10"/>
  <c r="BE4" i="17" l="1"/>
  <c r="BB5" i="17"/>
  <c r="BA3" i="17"/>
  <c r="AZ3" i="17"/>
  <c r="AY3" i="17"/>
  <c r="BB5" i="21"/>
  <c r="BE4" i="21"/>
  <c r="BJ3" i="20"/>
  <c r="BI3" i="20"/>
  <c r="BH3" i="20"/>
  <c r="AZ3" i="19"/>
  <c r="BA3" i="19"/>
  <c r="AY3" i="19"/>
  <c r="BN4" i="20"/>
  <c r="BK5" i="20"/>
  <c r="BA3" i="21"/>
  <c r="AZ3" i="21"/>
  <c r="AY3" i="21"/>
  <c r="BB5" i="19"/>
  <c r="BE4" i="19"/>
  <c r="BI3" i="18"/>
  <c r="BH3" i="18"/>
  <c r="BJ3" i="18"/>
  <c r="BK5" i="18"/>
  <c r="BN4" i="18"/>
  <c r="BE3" i="14"/>
  <c r="BG3" i="14"/>
  <c r="BF3" i="14"/>
  <c r="BE5" i="15"/>
  <c r="BH4" i="15"/>
  <c r="BB3" i="15"/>
  <c r="BC3" i="15"/>
  <c r="BD3" i="15"/>
  <c r="BN4" i="16"/>
  <c r="BK5" i="16"/>
  <c r="BJ3" i="16"/>
  <c r="BI3" i="16"/>
  <c r="BH3" i="16"/>
  <c r="BK4" i="14"/>
  <c r="BH5" i="14"/>
  <c r="BI3" i="13"/>
  <c r="BH3" i="13"/>
  <c r="BJ3" i="13"/>
  <c r="BK5" i="13"/>
  <c r="BN4" i="13"/>
  <c r="BE4" i="12"/>
  <c r="BB5" i="12"/>
  <c r="AZ3" i="12"/>
  <c r="BA3" i="12"/>
  <c r="AY3" i="12"/>
  <c r="BA3" i="11"/>
  <c r="AZ3" i="11"/>
  <c r="AY3" i="11"/>
  <c r="BB5" i="11"/>
  <c r="BE4" i="11"/>
  <c r="AS3" i="10"/>
  <c r="AT3" i="10"/>
  <c r="AU3" i="10"/>
  <c r="AY4" i="10"/>
  <c r="BD3" i="17" l="1"/>
  <c r="BC3" i="17"/>
  <c r="BB3" i="17"/>
  <c r="BH4" i="17"/>
  <c r="BE5" i="17"/>
  <c r="BN5" i="18"/>
  <c r="BQ4" i="18"/>
  <c r="BH4" i="19"/>
  <c r="BE5" i="19"/>
  <c r="BM3" i="20"/>
  <c r="BL3" i="20"/>
  <c r="BK3" i="20"/>
  <c r="BH4" i="21"/>
  <c r="BE5" i="21"/>
  <c r="BD3" i="19"/>
  <c r="BB3" i="19"/>
  <c r="BC3" i="19"/>
  <c r="BN5" i="20"/>
  <c r="BQ4" i="20"/>
  <c r="BM3" i="18"/>
  <c r="BK3" i="18"/>
  <c r="BL3" i="18"/>
  <c r="BD3" i="21"/>
  <c r="BC3" i="21"/>
  <c r="BB3" i="21"/>
  <c r="BF3" i="15"/>
  <c r="BE3" i="15"/>
  <c r="BG3" i="15"/>
  <c r="BM3" i="16"/>
  <c r="BL3" i="16"/>
  <c r="BK3" i="16"/>
  <c r="BI3" i="14"/>
  <c r="BH3" i="14"/>
  <c r="BJ3" i="14"/>
  <c r="BK5" i="14"/>
  <c r="BN4" i="14"/>
  <c r="BN5" i="16"/>
  <c r="BQ4" i="16"/>
  <c r="BK4" i="15"/>
  <c r="BH5" i="15"/>
  <c r="BE5" i="12"/>
  <c r="BH4" i="12"/>
  <c r="BN5" i="13"/>
  <c r="BQ4" i="13"/>
  <c r="BM3" i="13"/>
  <c r="BL3" i="13"/>
  <c r="BK3" i="13"/>
  <c r="BD3" i="12"/>
  <c r="BC3" i="12"/>
  <c r="BB3" i="12"/>
  <c r="BD3" i="11"/>
  <c r="BC3" i="11"/>
  <c r="BB3" i="11"/>
  <c r="BH4" i="11"/>
  <c r="BE5" i="11"/>
  <c r="AV3" i="10"/>
  <c r="AW3" i="10"/>
  <c r="AX3" i="10"/>
  <c r="BB4" i="10"/>
  <c r="BH5" i="17" l="1"/>
  <c r="BK4" i="17"/>
  <c r="BE3" i="17"/>
  <c r="BF3" i="17"/>
  <c r="BG3" i="17"/>
  <c r="BN3" i="20"/>
  <c r="BP3" i="20"/>
  <c r="BO3" i="20"/>
  <c r="BF3" i="19"/>
  <c r="BE3" i="19"/>
  <c r="BG3" i="19"/>
  <c r="BK4" i="19"/>
  <c r="BH5" i="19"/>
  <c r="BE3" i="21"/>
  <c r="BG3" i="21"/>
  <c r="BF3" i="21"/>
  <c r="BQ5" i="18"/>
  <c r="BT4" i="18"/>
  <c r="BK4" i="21"/>
  <c r="BH5" i="21"/>
  <c r="BN3" i="18"/>
  <c r="BP3" i="18"/>
  <c r="BO3" i="18"/>
  <c r="BQ5" i="20"/>
  <c r="BT4" i="20"/>
  <c r="BN4" i="15"/>
  <c r="BK5" i="15"/>
  <c r="BM3" i="14"/>
  <c r="BL3" i="14"/>
  <c r="BK3" i="14"/>
  <c r="BQ5" i="16"/>
  <c r="BT4" i="16"/>
  <c r="BJ3" i="15"/>
  <c r="BI3" i="15"/>
  <c r="BH3" i="15"/>
  <c r="BN5" i="14"/>
  <c r="BQ4" i="14"/>
  <c r="BN3" i="16"/>
  <c r="BP3" i="16"/>
  <c r="BO3" i="16"/>
  <c r="BH5" i="12"/>
  <c r="BK4" i="12"/>
  <c r="BG3" i="12"/>
  <c r="BF3" i="12"/>
  <c r="BE3" i="12"/>
  <c r="BT4" i="13"/>
  <c r="BQ5" i="13"/>
  <c r="BP3" i="13"/>
  <c r="BO3" i="13"/>
  <c r="BN3" i="13"/>
  <c r="BK4" i="11"/>
  <c r="BH5" i="11"/>
  <c r="BE3" i="11"/>
  <c r="BG3" i="11"/>
  <c r="BF3" i="11"/>
  <c r="AZ3" i="10"/>
  <c r="BA3" i="10"/>
  <c r="AY3" i="10"/>
  <c r="BE4" i="10"/>
  <c r="BK5" i="17" l="1"/>
  <c r="BN4" i="17"/>
  <c r="BI3" i="17"/>
  <c r="BH3" i="17"/>
  <c r="BJ3" i="17"/>
  <c r="BI3" i="21"/>
  <c r="BH3" i="21"/>
  <c r="BJ3" i="21"/>
  <c r="BW4" i="20"/>
  <c r="BT5" i="20"/>
  <c r="BK5" i="21"/>
  <c r="BN4" i="21"/>
  <c r="BH3" i="19"/>
  <c r="BJ3" i="19"/>
  <c r="BI3" i="19"/>
  <c r="BQ3" i="18"/>
  <c r="BS3" i="18"/>
  <c r="BR3" i="18"/>
  <c r="BR3" i="20"/>
  <c r="BQ3" i="20"/>
  <c r="BS3" i="20"/>
  <c r="BW4" i="18"/>
  <c r="BT5" i="18"/>
  <c r="BK5" i="19"/>
  <c r="BN4" i="19"/>
  <c r="BT4" i="14"/>
  <c r="BQ5" i="14"/>
  <c r="BM3" i="15"/>
  <c r="BK3" i="15"/>
  <c r="BL3" i="15"/>
  <c r="BW4" i="16"/>
  <c r="BT5" i="16"/>
  <c r="BR3" i="16"/>
  <c r="BQ3" i="16"/>
  <c r="BS3" i="16"/>
  <c r="BP3" i="14"/>
  <c r="BO3" i="14"/>
  <c r="BN3" i="14"/>
  <c r="BN5" i="15"/>
  <c r="BQ4" i="15"/>
  <c r="BQ3" i="13"/>
  <c r="BS3" i="13"/>
  <c r="BR3" i="13"/>
  <c r="BH3" i="12"/>
  <c r="BI3" i="12"/>
  <c r="BJ3" i="12"/>
  <c r="BW4" i="13"/>
  <c r="BT5" i="13"/>
  <c r="BK5" i="12"/>
  <c r="BN4" i="12"/>
  <c r="BI3" i="11"/>
  <c r="BH3" i="11"/>
  <c r="BJ3" i="11"/>
  <c r="BK5" i="11"/>
  <c r="BN4" i="11"/>
  <c r="BD3" i="10"/>
  <c r="BB3" i="10"/>
  <c r="BC3" i="10"/>
  <c r="BH4" i="10"/>
  <c r="BN5" i="17" l="1"/>
  <c r="BQ4" i="17"/>
  <c r="BM3" i="17"/>
  <c r="BL3" i="17"/>
  <c r="BK3" i="17"/>
  <c r="BW5" i="18"/>
  <c r="BZ4" i="18"/>
  <c r="BN5" i="19"/>
  <c r="BQ4" i="19"/>
  <c r="BZ4" i="20"/>
  <c r="BW5" i="20"/>
  <c r="BU3" i="18"/>
  <c r="BV3" i="18"/>
  <c r="BT3" i="18"/>
  <c r="BM3" i="21"/>
  <c r="BL3" i="21"/>
  <c r="BK3" i="21"/>
  <c r="BV3" i="20"/>
  <c r="BU3" i="20"/>
  <c r="BT3" i="20"/>
  <c r="BL3" i="19"/>
  <c r="BM3" i="19"/>
  <c r="BK3" i="19"/>
  <c r="BQ4" i="21"/>
  <c r="BN5" i="21"/>
  <c r="BQ5" i="15"/>
  <c r="BT4" i="15"/>
  <c r="BZ4" i="16"/>
  <c r="BW5" i="16"/>
  <c r="BQ3" i="14"/>
  <c r="BS3" i="14"/>
  <c r="BR3" i="14"/>
  <c r="BN3" i="15"/>
  <c r="BO3" i="15"/>
  <c r="BP3" i="15"/>
  <c r="BW4" i="14"/>
  <c r="BT5" i="14"/>
  <c r="BV3" i="16"/>
  <c r="BU3" i="16"/>
  <c r="BT3" i="16"/>
  <c r="BU3" i="13"/>
  <c r="BT3" i="13"/>
  <c r="BV3" i="13"/>
  <c r="BN5" i="12"/>
  <c r="BQ4" i="12"/>
  <c r="BW5" i="13"/>
  <c r="BZ4" i="13"/>
  <c r="BL3" i="12"/>
  <c r="BM3" i="12"/>
  <c r="BK3" i="12"/>
  <c r="BM3" i="11"/>
  <c r="BL3" i="11"/>
  <c r="BK3" i="11"/>
  <c r="BN5" i="11"/>
  <c r="BQ4" i="11"/>
  <c r="BE3" i="10"/>
  <c r="BF3" i="10"/>
  <c r="BG3" i="10"/>
  <c r="BK4" i="10"/>
  <c r="BT4" i="17" l="1"/>
  <c r="BQ5" i="17"/>
  <c r="BN3" i="17"/>
  <c r="BO3" i="17"/>
  <c r="BP3" i="17"/>
  <c r="BP3" i="21"/>
  <c r="BO3" i="21"/>
  <c r="BN3" i="21"/>
  <c r="BY3" i="20"/>
  <c r="BX3" i="20"/>
  <c r="BW3" i="20"/>
  <c r="BZ5" i="20"/>
  <c r="CC4" i="20"/>
  <c r="BT4" i="19"/>
  <c r="BQ5" i="19"/>
  <c r="BZ5" i="18"/>
  <c r="CC4" i="18"/>
  <c r="BT4" i="21"/>
  <c r="BQ5" i="21"/>
  <c r="BP3" i="19"/>
  <c r="BN3" i="19"/>
  <c r="BO3" i="19"/>
  <c r="BY3" i="18"/>
  <c r="BX3" i="18"/>
  <c r="BW3" i="18"/>
  <c r="BU3" i="14"/>
  <c r="BT3" i="14"/>
  <c r="BV3" i="14"/>
  <c r="BW5" i="14"/>
  <c r="BZ4" i="14"/>
  <c r="BZ5" i="16"/>
  <c r="CC4" i="16"/>
  <c r="BW4" i="15"/>
  <c r="BT5" i="15"/>
  <c r="BY3" i="16"/>
  <c r="BX3" i="16"/>
  <c r="BW3" i="16"/>
  <c r="BR3" i="15"/>
  <c r="BQ3" i="15"/>
  <c r="BS3" i="15"/>
  <c r="BP3" i="12"/>
  <c r="BO3" i="12"/>
  <c r="BN3" i="12"/>
  <c r="BZ5" i="13"/>
  <c r="CC4" i="13"/>
  <c r="BY3" i="13"/>
  <c r="BX3" i="13"/>
  <c r="BW3" i="13"/>
  <c r="BQ5" i="12"/>
  <c r="BT4" i="12"/>
  <c r="BP3" i="11"/>
  <c r="BO3" i="11"/>
  <c r="BN3" i="11"/>
  <c r="BT4" i="11"/>
  <c r="BQ5" i="11"/>
  <c r="BH3" i="10"/>
  <c r="BI3" i="10"/>
  <c r="BJ3" i="10"/>
  <c r="BN4" i="10"/>
  <c r="BS3" i="17" l="1"/>
  <c r="BR3" i="17"/>
  <c r="BQ3" i="17"/>
  <c r="BW4" i="17"/>
  <c r="BT5" i="17"/>
  <c r="CA3" i="18"/>
  <c r="CB3" i="18"/>
  <c r="BZ3" i="18"/>
  <c r="BR3" i="19"/>
  <c r="BQ3" i="19"/>
  <c r="BS3" i="19"/>
  <c r="BW4" i="19"/>
  <c r="BT5" i="19"/>
  <c r="BZ3" i="20"/>
  <c r="CB3" i="20"/>
  <c r="CA3" i="20"/>
  <c r="BQ3" i="21"/>
  <c r="BS3" i="21"/>
  <c r="BR3" i="21"/>
  <c r="BT5" i="21"/>
  <c r="BW4" i="21"/>
  <c r="CF4" i="18"/>
  <c r="CC5" i="18"/>
  <c r="CC5" i="20"/>
  <c r="CF4" i="20"/>
  <c r="BY3" i="14"/>
  <c r="BX3" i="14"/>
  <c r="BW3" i="14"/>
  <c r="CC5" i="16"/>
  <c r="CF4" i="16"/>
  <c r="BZ3" i="16"/>
  <c r="CB3" i="16"/>
  <c r="CA3" i="16"/>
  <c r="BV3" i="15"/>
  <c r="BU3" i="15"/>
  <c r="BT3" i="15"/>
  <c r="BZ4" i="15"/>
  <c r="BW5" i="15"/>
  <c r="BZ5" i="14"/>
  <c r="CC4" i="14"/>
  <c r="CB3" i="13"/>
  <c r="CA3" i="13"/>
  <c r="BZ3" i="13"/>
  <c r="BT5" i="12"/>
  <c r="BW4" i="12"/>
  <c r="BS3" i="12"/>
  <c r="BR3" i="12"/>
  <c r="BQ3" i="12"/>
  <c r="CF4" i="13"/>
  <c r="CC5" i="13"/>
  <c r="BW4" i="11"/>
  <c r="BT5" i="11"/>
  <c r="BQ3" i="11"/>
  <c r="BS3" i="11"/>
  <c r="BR3" i="11"/>
  <c r="BL3" i="10"/>
  <c r="BM3" i="10"/>
  <c r="BK3" i="10"/>
  <c r="BQ4" i="10"/>
  <c r="BW5" i="17" l="1"/>
  <c r="BZ4" i="17"/>
  <c r="BU3" i="17"/>
  <c r="BV3" i="17"/>
  <c r="BT3" i="17"/>
  <c r="CD3" i="20"/>
  <c r="CC3" i="20"/>
  <c r="CE3" i="20"/>
  <c r="CC3" i="18"/>
  <c r="CD3" i="18"/>
  <c r="CE3" i="18"/>
  <c r="BT3" i="19"/>
  <c r="BV3" i="19"/>
  <c r="BU3" i="19"/>
  <c r="BU3" i="21"/>
  <c r="BT3" i="21"/>
  <c r="BV3" i="21"/>
  <c r="CI4" i="18"/>
  <c r="CF5" i="18"/>
  <c r="CI4" i="20"/>
  <c r="CF5" i="20"/>
  <c r="BW5" i="21"/>
  <c r="BZ4" i="21"/>
  <c r="BW5" i="19"/>
  <c r="BZ4" i="19"/>
  <c r="CD3" i="16"/>
  <c r="CC3" i="16"/>
  <c r="CE3" i="16"/>
  <c r="BZ5" i="15"/>
  <c r="CC4" i="15"/>
  <c r="BY3" i="15"/>
  <c r="BW3" i="15"/>
  <c r="BX3" i="15"/>
  <c r="CF4" i="14"/>
  <c r="CC5" i="14"/>
  <c r="CB3" i="14"/>
  <c r="CA3" i="14"/>
  <c r="BZ3" i="14"/>
  <c r="CI4" i="16"/>
  <c r="CF5" i="16"/>
  <c r="BT3" i="12"/>
  <c r="BV3" i="12"/>
  <c r="BU3" i="12"/>
  <c r="CC3" i="13"/>
  <c r="CE3" i="13"/>
  <c r="CD3" i="13"/>
  <c r="CI4" i="13"/>
  <c r="CF5" i="13"/>
  <c r="BW5" i="12"/>
  <c r="BZ4" i="12"/>
  <c r="BU3" i="11"/>
  <c r="BT3" i="11"/>
  <c r="BV3" i="11"/>
  <c r="BW5" i="11"/>
  <c r="BZ4" i="11"/>
  <c r="BP3" i="10"/>
  <c r="BN3" i="10"/>
  <c r="BO3" i="10"/>
  <c r="BT4" i="10"/>
  <c r="BZ5" i="17" l="1"/>
  <c r="CC4" i="17"/>
  <c r="BW3" i="17"/>
  <c r="BY3" i="17"/>
  <c r="BX3" i="17"/>
  <c r="BZ5" i="19"/>
  <c r="CC4" i="19"/>
  <c r="CC4" i="21"/>
  <c r="BZ5" i="21"/>
  <c r="CG3" i="18"/>
  <c r="CH3" i="18"/>
  <c r="CF3" i="18"/>
  <c r="BY3" i="21"/>
  <c r="BX3" i="21"/>
  <c r="BW3" i="21"/>
  <c r="CI5" i="18"/>
  <c r="CL4" i="18"/>
  <c r="CH3" i="20"/>
  <c r="CG3" i="20"/>
  <c r="CF3" i="20"/>
  <c r="BX3" i="19"/>
  <c r="BY3" i="19"/>
  <c r="BW3" i="19"/>
  <c r="CL4" i="20"/>
  <c r="CI5" i="20"/>
  <c r="BZ3" i="15"/>
  <c r="CA3" i="15"/>
  <c r="CB3" i="15"/>
  <c r="CH3" i="16"/>
  <c r="CG3" i="16"/>
  <c r="CF3" i="16"/>
  <c r="CI4" i="14"/>
  <c r="CF5" i="14"/>
  <c r="CL4" i="16"/>
  <c r="CI5" i="16"/>
  <c r="CC3" i="14"/>
  <c r="CE3" i="14"/>
  <c r="CD3" i="14"/>
  <c r="CC5" i="15"/>
  <c r="CF4" i="15"/>
  <c r="CG3" i="13"/>
  <c r="CF3" i="13"/>
  <c r="CH3" i="13"/>
  <c r="CI5" i="13"/>
  <c r="CL4" i="13"/>
  <c r="CC4" i="12"/>
  <c r="BZ5" i="12"/>
  <c r="BX3" i="12"/>
  <c r="BY3" i="12"/>
  <c r="BW3" i="12"/>
  <c r="BZ5" i="11"/>
  <c r="CC4" i="11"/>
  <c r="BY3" i="11"/>
  <c r="BX3" i="11"/>
  <c r="BW3" i="11"/>
  <c r="BQ3" i="10"/>
  <c r="BR3" i="10"/>
  <c r="BS3" i="10"/>
  <c r="BW4" i="10"/>
  <c r="CF4" i="17" l="1"/>
  <c r="CC5" i="17"/>
  <c r="BZ3" i="17"/>
  <c r="CB3" i="17"/>
  <c r="CA3" i="17"/>
  <c r="CK3" i="20"/>
  <c r="CJ3" i="20"/>
  <c r="CI3" i="20"/>
  <c r="CL5" i="18"/>
  <c r="CO4" i="18"/>
  <c r="CK3" i="18"/>
  <c r="CI3" i="18"/>
  <c r="CJ3" i="18"/>
  <c r="CB3" i="21"/>
  <c r="CA3" i="21"/>
  <c r="BZ3" i="21"/>
  <c r="CF4" i="19"/>
  <c r="CC5" i="19"/>
  <c r="CL5" i="20"/>
  <c r="CO4" i="20"/>
  <c r="CF4" i="21"/>
  <c r="CC5" i="21"/>
  <c r="CB3" i="19"/>
  <c r="BZ3" i="19"/>
  <c r="CA3" i="19"/>
  <c r="CK3" i="16"/>
  <c r="CJ3" i="16"/>
  <c r="CI3" i="16"/>
  <c r="CI4" i="15"/>
  <c r="CF5" i="15"/>
  <c r="CG3" i="14"/>
  <c r="CF3" i="14"/>
  <c r="CH3" i="14"/>
  <c r="CD3" i="15"/>
  <c r="CC3" i="15"/>
  <c r="CE3" i="15"/>
  <c r="CL5" i="16"/>
  <c r="CO4" i="16"/>
  <c r="CI5" i="14"/>
  <c r="CL4" i="14"/>
  <c r="CK3" i="13"/>
  <c r="CJ3" i="13"/>
  <c r="CI3" i="13"/>
  <c r="CB3" i="12"/>
  <c r="BZ3" i="12"/>
  <c r="CA3" i="12"/>
  <c r="CC5" i="12"/>
  <c r="CF4" i="12"/>
  <c r="CL5" i="13"/>
  <c r="CO4" i="13"/>
  <c r="CF4" i="11"/>
  <c r="CC5" i="11"/>
  <c r="CB3" i="11"/>
  <c r="CA3" i="11"/>
  <c r="BZ3" i="11"/>
  <c r="BT3" i="10"/>
  <c r="BU3" i="10"/>
  <c r="BV3" i="10"/>
  <c r="BZ4" i="10"/>
  <c r="CC3" i="17" l="1"/>
  <c r="CE3" i="17"/>
  <c r="CD3" i="17"/>
  <c r="CI4" i="17"/>
  <c r="CF5" i="17"/>
  <c r="CL3" i="20"/>
  <c r="CN3" i="20"/>
  <c r="CM3" i="20"/>
  <c r="CI4" i="19"/>
  <c r="CF5" i="19"/>
  <c r="CN3" i="18"/>
  <c r="CM3" i="18"/>
  <c r="CL3" i="18"/>
  <c r="CD3" i="21"/>
  <c r="CC3" i="21"/>
  <c r="CE3" i="21"/>
  <c r="CI4" i="21"/>
  <c r="CF5" i="21"/>
  <c r="CO5" i="20"/>
  <c r="CD3" i="19"/>
  <c r="CC3" i="19"/>
  <c r="CE3" i="19"/>
  <c r="CO5" i="18"/>
  <c r="CL3" i="16"/>
  <c r="CN3" i="16"/>
  <c r="CM3" i="16"/>
  <c r="CL5" i="14"/>
  <c r="CO4" i="14"/>
  <c r="CO5" i="16"/>
  <c r="CR4" i="16"/>
  <c r="CR5" i="16" s="1"/>
  <c r="CL4" i="15"/>
  <c r="CI5" i="15"/>
  <c r="CK3" i="14"/>
  <c r="CJ3" i="14"/>
  <c r="CI3" i="14"/>
  <c r="CH3" i="15"/>
  <c r="CG3" i="15"/>
  <c r="CF3" i="15"/>
  <c r="CN3" i="13"/>
  <c r="CM3" i="13"/>
  <c r="CL3" i="13"/>
  <c r="CI4" i="12"/>
  <c r="CF5" i="12"/>
  <c r="CD3" i="12"/>
  <c r="CC3" i="12"/>
  <c r="CE3" i="12"/>
  <c r="CO5" i="13"/>
  <c r="CI4" i="11"/>
  <c r="CF5" i="11"/>
  <c r="CC3" i="11"/>
  <c r="CE3" i="11"/>
  <c r="CD3" i="11"/>
  <c r="BX3" i="10"/>
  <c r="BY3" i="10"/>
  <c r="BW3" i="10"/>
  <c r="CC4" i="10"/>
  <c r="C24" i="20" l="1"/>
  <c r="C17" i="20"/>
  <c r="C19" i="20"/>
  <c r="C20" i="20"/>
  <c r="C22" i="20"/>
  <c r="C23" i="20"/>
  <c r="C21" i="20"/>
  <c r="C15" i="20"/>
  <c r="C18" i="20"/>
  <c r="C25" i="20"/>
  <c r="C16" i="20"/>
  <c r="C14" i="20"/>
  <c r="C24" i="18"/>
  <c r="C16" i="18"/>
  <c r="C15" i="18"/>
  <c r="C19" i="18"/>
  <c r="C23" i="18"/>
  <c r="C22" i="18"/>
  <c r="C18" i="18"/>
  <c r="C20" i="18"/>
  <c r="C25" i="18"/>
  <c r="C21" i="18"/>
  <c r="C14" i="18"/>
  <c r="C17" i="18"/>
  <c r="CG3" i="17"/>
  <c r="CH3" i="17"/>
  <c r="CF3" i="17"/>
  <c r="CI5" i="17"/>
  <c r="CL4" i="17"/>
  <c r="C21" i="16"/>
  <c r="C15" i="16"/>
  <c r="C14" i="16"/>
  <c r="C17" i="16"/>
  <c r="C23" i="16"/>
  <c r="C24" i="16"/>
  <c r="C25" i="16"/>
  <c r="C22" i="16"/>
  <c r="C18" i="16"/>
  <c r="C19" i="16"/>
  <c r="C20" i="16"/>
  <c r="C16" i="16"/>
  <c r="C25" i="13"/>
  <c r="C18" i="13"/>
  <c r="C14" i="13"/>
  <c r="C24" i="13"/>
  <c r="C20" i="13"/>
  <c r="C17" i="13"/>
  <c r="C21" i="13"/>
  <c r="C15" i="13"/>
  <c r="C16" i="13"/>
  <c r="C22" i="13"/>
  <c r="C19" i="13"/>
  <c r="C23" i="13"/>
  <c r="CI5" i="19"/>
  <c r="CL4" i="19"/>
  <c r="CF3" i="21"/>
  <c r="CH3" i="21"/>
  <c r="CG3" i="21"/>
  <c r="CO3" i="18"/>
  <c r="CQ3" i="18"/>
  <c r="CP3" i="18"/>
  <c r="CP3" i="20"/>
  <c r="CO3" i="20"/>
  <c r="CQ3" i="20"/>
  <c r="CI5" i="21"/>
  <c r="CL4" i="21"/>
  <c r="CF3" i="19"/>
  <c r="CH3" i="19"/>
  <c r="CG3" i="19"/>
  <c r="CP3" i="16"/>
  <c r="CO3" i="16"/>
  <c r="CQ3" i="16"/>
  <c r="CK3" i="15"/>
  <c r="CI3" i="15"/>
  <c r="CJ3" i="15"/>
  <c r="CR4" i="14"/>
  <c r="CR5" i="14" s="1"/>
  <c r="CO5" i="14"/>
  <c r="CT3" i="16"/>
  <c r="CS3" i="16"/>
  <c r="CR3" i="16"/>
  <c r="CL5" i="15"/>
  <c r="CO4" i="15"/>
  <c r="CN3" i="14"/>
  <c r="CM3" i="14"/>
  <c r="CL3" i="14"/>
  <c r="CL4" i="12"/>
  <c r="CI5" i="12"/>
  <c r="CO3" i="13"/>
  <c r="CQ3" i="13"/>
  <c r="CP3" i="13"/>
  <c r="CF3" i="12"/>
  <c r="CH3" i="12"/>
  <c r="CG3" i="12"/>
  <c r="CG3" i="11"/>
  <c r="CF3" i="11"/>
  <c r="CH3" i="11"/>
  <c r="CI5" i="11"/>
  <c r="CL4" i="11"/>
  <c r="CB3" i="10"/>
  <c r="BZ3" i="10"/>
  <c r="CA3" i="10"/>
  <c r="CF4" i="10"/>
  <c r="B65" i="20" l="1"/>
  <c r="B64" i="20"/>
  <c r="B59" i="20"/>
  <c r="B61" i="20"/>
  <c r="B60" i="20"/>
  <c r="B66" i="20"/>
  <c r="B67" i="20"/>
  <c r="B62" i="20"/>
  <c r="B63" i="20"/>
  <c r="B58" i="20"/>
  <c r="B68" i="20"/>
  <c r="B66" i="18"/>
  <c r="B58" i="18"/>
  <c r="B68" i="18"/>
  <c r="B62" i="18"/>
  <c r="B59" i="18"/>
  <c r="B64" i="18"/>
  <c r="B65" i="18"/>
  <c r="B67" i="18"/>
  <c r="B60" i="18"/>
  <c r="B61" i="18"/>
  <c r="B63" i="18"/>
  <c r="CI3" i="17"/>
  <c r="CK3" i="17"/>
  <c r="CJ3" i="17"/>
  <c r="CO4" i="17"/>
  <c r="CL5" i="17"/>
  <c r="B58" i="16"/>
  <c r="B65" i="16"/>
  <c r="B60" i="16"/>
  <c r="B68" i="16"/>
  <c r="B61" i="16"/>
  <c r="B62" i="16"/>
  <c r="B67" i="16"/>
  <c r="B66" i="16"/>
  <c r="B64" i="16"/>
  <c r="B59" i="16"/>
  <c r="B63" i="16"/>
  <c r="C19" i="14"/>
  <c r="C14" i="14"/>
  <c r="C23" i="14"/>
  <c r="C18" i="14"/>
  <c r="C16" i="14"/>
  <c r="C24" i="14"/>
  <c r="C22" i="14"/>
  <c r="C25" i="14"/>
  <c r="C20" i="14"/>
  <c r="C21" i="14"/>
  <c r="C15" i="14"/>
  <c r="C17" i="14"/>
  <c r="B68" i="13"/>
  <c r="B63" i="13"/>
  <c r="B65" i="13"/>
  <c r="B59" i="13"/>
  <c r="B62" i="13"/>
  <c r="B64" i="13"/>
  <c r="B61" i="13"/>
  <c r="B67" i="13"/>
  <c r="B60" i="13"/>
  <c r="B66" i="13"/>
  <c r="B58" i="13"/>
  <c r="CL5" i="21"/>
  <c r="CO4" i="21"/>
  <c r="CJ3" i="19"/>
  <c r="CK3" i="19"/>
  <c r="CI3" i="19"/>
  <c r="CL5" i="19"/>
  <c r="CO4" i="19"/>
  <c r="CJ3" i="21"/>
  <c r="CI3" i="21"/>
  <c r="CK3" i="21"/>
  <c r="CL3" i="15"/>
  <c r="CM3" i="15"/>
  <c r="CN3" i="15"/>
  <c r="CO3" i="14"/>
  <c r="CQ3" i="14"/>
  <c r="CP3" i="14"/>
  <c r="CO5" i="15"/>
  <c r="CS3" i="14"/>
  <c r="CR3" i="14"/>
  <c r="CT3" i="14"/>
  <c r="CJ3" i="12"/>
  <c r="CK3" i="12"/>
  <c r="CI3" i="12"/>
  <c r="CL5" i="12"/>
  <c r="CO4" i="12"/>
  <c r="CK3" i="11"/>
  <c r="CJ3" i="11"/>
  <c r="CI3" i="11"/>
  <c r="CL5" i="11"/>
  <c r="CC3" i="10"/>
  <c r="CD3" i="10"/>
  <c r="CE3" i="10"/>
  <c r="CI4" i="10"/>
  <c r="CR4" i="17" l="1"/>
  <c r="CR5" i="17" s="1"/>
  <c r="CO5" i="17"/>
  <c r="CL3" i="17"/>
  <c r="CN3" i="17"/>
  <c r="CM3" i="17"/>
  <c r="C21" i="15"/>
  <c r="C23" i="15"/>
  <c r="C20" i="15"/>
  <c r="C19" i="15"/>
  <c r="C18" i="15"/>
  <c r="C24" i="15"/>
  <c r="C14" i="15"/>
  <c r="C25" i="15"/>
  <c r="C16" i="15"/>
  <c r="C17" i="15"/>
  <c r="C22" i="15"/>
  <c r="B63" i="14"/>
  <c r="B67" i="14"/>
  <c r="B58" i="14"/>
  <c r="B65" i="14"/>
  <c r="B64" i="14"/>
  <c r="B61" i="14"/>
  <c r="B66" i="14"/>
  <c r="B62" i="14"/>
  <c r="B60" i="14"/>
  <c r="B59" i="14"/>
  <c r="B68" i="14"/>
  <c r="CN3" i="19"/>
  <c r="CL3" i="19"/>
  <c r="CM3" i="19"/>
  <c r="CR4" i="21"/>
  <c r="CR5" i="21" s="1"/>
  <c r="CO5" i="21"/>
  <c r="CR4" i="19"/>
  <c r="CR5" i="19" s="1"/>
  <c r="CO5" i="19"/>
  <c r="CN3" i="21"/>
  <c r="CM3" i="21"/>
  <c r="CL3" i="21"/>
  <c r="C15" i="15"/>
  <c r="CP3" i="15"/>
  <c r="CO3" i="15"/>
  <c r="CQ3" i="15"/>
  <c r="CN3" i="12"/>
  <c r="CM3" i="12"/>
  <c r="CL3" i="12"/>
  <c r="CO5" i="12"/>
  <c r="CR4" i="12"/>
  <c r="CR5" i="12" s="1"/>
  <c r="CN3" i="11"/>
  <c r="CM3" i="11"/>
  <c r="CL3" i="11"/>
  <c r="CF3" i="10"/>
  <c r="CG3" i="10"/>
  <c r="CH3" i="10"/>
  <c r="CL4" i="10"/>
  <c r="C18" i="21" l="1"/>
  <c r="C21" i="21"/>
  <c r="C23" i="21"/>
  <c r="C20" i="21"/>
  <c r="C15" i="21"/>
  <c r="C17" i="21"/>
  <c r="C14" i="21"/>
  <c r="C19" i="21"/>
  <c r="C20" i="19"/>
  <c r="C21" i="19"/>
  <c r="C14" i="19"/>
  <c r="CP3" i="17"/>
  <c r="CO3" i="17"/>
  <c r="CQ3" i="17"/>
  <c r="C22" i="17"/>
  <c r="C15" i="17"/>
  <c r="C14" i="17"/>
  <c r="C19" i="17"/>
  <c r="C23" i="17"/>
  <c r="C20" i="17"/>
  <c r="C17" i="17"/>
  <c r="C25" i="17"/>
  <c r="C24" i="17"/>
  <c r="C16" i="17"/>
  <c r="C21" i="17"/>
  <c r="C18" i="17"/>
  <c r="CT3" i="17"/>
  <c r="CR3" i="17"/>
  <c r="CS3" i="17"/>
  <c r="C16" i="12"/>
  <c r="C22" i="12"/>
  <c r="C15" i="12"/>
  <c r="C21" i="12"/>
  <c r="C18" i="12"/>
  <c r="C14" i="12"/>
  <c r="C20" i="12"/>
  <c r="C23" i="12"/>
  <c r="C19" i="12"/>
  <c r="C25" i="12"/>
  <c r="C14" i="11"/>
  <c r="C15" i="11"/>
  <c r="C25" i="11"/>
  <c r="C17" i="11"/>
  <c r="C18" i="11"/>
  <c r="C16" i="11"/>
  <c r="C19" i="11"/>
  <c r="C23" i="11"/>
  <c r="C24" i="11"/>
  <c r="C20" i="11"/>
  <c r="CR3" i="21"/>
  <c r="CT3" i="21"/>
  <c r="CS3" i="21"/>
  <c r="C22" i="21"/>
  <c r="C25" i="21"/>
  <c r="C24" i="21"/>
  <c r="C16" i="21"/>
  <c r="CO3" i="21"/>
  <c r="CQ3" i="21"/>
  <c r="CP3" i="21"/>
  <c r="CP3" i="19"/>
  <c r="CO3" i="19"/>
  <c r="CQ3" i="19"/>
  <c r="CR3" i="19"/>
  <c r="CT3" i="19"/>
  <c r="CS3" i="19"/>
  <c r="C24" i="19"/>
  <c r="C15" i="19"/>
  <c r="C19" i="19"/>
  <c r="C22" i="19"/>
  <c r="C25" i="19"/>
  <c r="C18" i="19"/>
  <c r="C17" i="19"/>
  <c r="C16" i="19"/>
  <c r="C23" i="19"/>
  <c r="B58" i="15"/>
  <c r="B67" i="15"/>
  <c r="B62" i="15"/>
  <c r="B68" i="15"/>
  <c r="B63" i="15"/>
  <c r="B61" i="15"/>
  <c r="B66" i="15"/>
  <c r="B65" i="15"/>
  <c r="B64" i="15"/>
  <c r="B59" i="15"/>
  <c r="B60" i="15"/>
  <c r="CR3" i="12"/>
  <c r="CT3" i="12"/>
  <c r="CS3" i="12"/>
  <c r="C17" i="12"/>
  <c r="C24" i="12"/>
  <c r="CO3" i="12"/>
  <c r="CQ3" i="12"/>
  <c r="CP3" i="12"/>
  <c r="C21" i="11"/>
  <c r="C22" i="11"/>
  <c r="CJ3" i="10"/>
  <c r="CK3" i="10"/>
  <c r="CI3" i="10"/>
  <c r="CO4" i="10"/>
  <c r="B62" i="17" l="1"/>
  <c r="B60" i="17"/>
  <c r="B63" i="17"/>
  <c r="B68" i="17"/>
  <c r="B65" i="17"/>
  <c r="B64" i="17"/>
  <c r="B61" i="17"/>
  <c r="B66" i="17"/>
  <c r="B67" i="17"/>
  <c r="B58" i="17"/>
  <c r="B59" i="17"/>
  <c r="B65" i="21"/>
  <c r="B64" i="21"/>
  <c r="B59" i="21"/>
  <c r="B61" i="21"/>
  <c r="B60" i="21"/>
  <c r="B66" i="21"/>
  <c r="B58" i="21"/>
  <c r="B67" i="21"/>
  <c r="B62" i="21"/>
  <c r="B68" i="21"/>
  <c r="B63" i="21"/>
  <c r="B65" i="19"/>
  <c r="B64" i="19"/>
  <c r="B59" i="19"/>
  <c r="B61" i="19"/>
  <c r="B60" i="19"/>
  <c r="B66" i="19"/>
  <c r="B58" i="19"/>
  <c r="B67" i="19"/>
  <c r="B62" i="19"/>
  <c r="B68" i="19"/>
  <c r="B63" i="19"/>
  <c r="B58" i="12"/>
  <c r="B67" i="12"/>
  <c r="B62" i="12"/>
  <c r="B68" i="12"/>
  <c r="B63" i="12"/>
  <c r="B65" i="12"/>
  <c r="B64" i="12"/>
  <c r="B59" i="12"/>
  <c r="B61" i="12"/>
  <c r="B60" i="12"/>
  <c r="B66" i="12"/>
  <c r="B68" i="11"/>
  <c r="B66" i="11"/>
  <c r="B64" i="11"/>
  <c r="B61" i="11"/>
  <c r="B58" i="11"/>
  <c r="B59" i="11"/>
  <c r="B67" i="11"/>
  <c r="B60" i="11"/>
  <c r="B62" i="11"/>
  <c r="B65" i="11"/>
  <c r="B63" i="11"/>
  <c r="CN3" i="10"/>
  <c r="CL3" i="10"/>
  <c r="CM3" i="10"/>
  <c r="CR4" i="10"/>
  <c r="CO3" i="10" l="1"/>
  <c r="CP3" i="10"/>
  <c r="CQ3" i="10"/>
  <c r="CR3" i="10"/>
  <c r="CS3" i="10"/>
  <c r="CT3" i="10"/>
  <c r="C20" i="10"/>
  <c r="C15" i="10"/>
  <c r="C22" i="10"/>
  <c r="C23" i="10"/>
  <c r="C24" i="10"/>
  <c r="C16" i="10"/>
  <c r="C17" i="10"/>
  <c r="C21" i="10"/>
  <c r="C14" i="10"/>
  <c r="C18" i="10"/>
  <c r="C19" i="10"/>
  <c r="C25" i="10"/>
  <c r="B65" i="10" l="1"/>
  <c r="B58" i="10"/>
  <c r="B59" i="10"/>
  <c r="B68" i="10"/>
  <c r="B62" i="10"/>
  <c r="B61" i="10"/>
  <c r="B60" i="10"/>
  <c r="B67" i="10"/>
  <c r="B66" i="10"/>
  <c r="B64" i="10"/>
  <c r="B63" i="10"/>
  <c r="C19" i="4" l="1"/>
  <c r="C23" i="4" s="1"/>
  <c r="C20" i="4"/>
  <c r="H20" i="4"/>
  <c r="G19" i="4"/>
  <c r="K23" i="4" s="1"/>
  <c r="G20" i="4"/>
  <c r="H19" i="4"/>
  <c r="M23" i="4" s="1"/>
  <c r="D19" i="4"/>
  <c r="E23" i="4" s="1"/>
  <c r="F20" i="4"/>
  <c r="E20" i="4"/>
  <c r="E19" i="4"/>
  <c r="G23" i="4" s="1"/>
  <c r="D20" i="4"/>
  <c r="F19" i="4"/>
  <c r="I23" i="4" s="1"/>
</calcChain>
</file>

<file path=xl/sharedStrings.xml><?xml version="1.0" encoding="utf-8"?>
<sst xmlns="http://schemas.openxmlformats.org/spreadsheetml/2006/main" count="2871" uniqueCount="98">
  <si>
    <t>TAG</t>
  </si>
  <si>
    <t>DETECTOR</t>
  </si>
  <si>
    <t>MODELO</t>
  </si>
  <si>
    <t>Bancada</t>
  </si>
  <si>
    <t>Posição</t>
  </si>
  <si>
    <t>Status</t>
  </si>
  <si>
    <t>Analista</t>
  </si>
  <si>
    <t>Projeto/Obs</t>
  </si>
  <si>
    <t>DAD-HS</t>
  </si>
  <si>
    <t>B4</t>
  </si>
  <si>
    <t>P1</t>
  </si>
  <si>
    <t>Livre</t>
  </si>
  <si>
    <t>Em uso (2º turno)</t>
  </si>
  <si>
    <t>VWD + RID</t>
  </si>
  <si>
    <t>B3</t>
  </si>
  <si>
    <t>P2</t>
  </si>
  <si>
    <t>P4</t>
  </si>
  <si>
    <t>Empréstimo - Desenho analítico / IVIV</t>
  </si>
  <si>
    <t>Empréstimo - Troubleshooting</t>
  </si>
  <si>
    <t>VWD + ELSD</t>
  </si>
  <si>
    <t>P5</t>
  </si>
  <si>
    <t>Em uso (1º turno)</t>
  </si>
  <si>
    <t>PDA</t>
  </si>
  <si>
    <t>P3</t>
  </si>
  <si>
    <t>PDA + FLR</t>
  </si>
  <si>
    <t>DAD-HS + FLD</t>
  </si>
  <si>
    <t>B5</t>
  </si>
  <si>
    <t>Empréstimo - Suporte analítico</t>
  </si>
  <si>
    <t>Manutenção</t>
  </si>
  <si>
    <t>DAD-WR</t>
  </si>
  <si>
    <t>STATUS INDIVIDUAL MENSAL DOS EQUIPAMENTOS - DIAS ÚTEIS</t>
  </si>
  <si>
    <t>STATUS MENSAL DOS EQUIPAMENTOS POR GRUPO DE MODELOS/DETECTORES</t>
  </si>
  <si>
    <t>Detectores:</t>
  </si>
  <si>
    <t xml:space="preserve"> </t>
  </si>
  <si>
    <t>Estatística do dia</t>
  </si>
  <si>
    <t>Total equip.</t>
  </si>
  <si>
    <t>Qualificação</t>
  </si>
  <si>
    <t>Empréstimo - Não medicamento</t>
  </si>
  <si>
    <t>Empréstimo - PD</t>
  </si>
  <si>
    <t>DAD + MS</t>
  </si>
  <si>
    <t>DAD-WR + FC-AS</t>
  </si>
  <si>
    <t>UV Dual λ</t>
  </si>
  <si>
    <t>(DAD  WR)</t>
  </si>
  <si>
    <t>(VWD + ELSD)</t>
  </si>
  <si>
    <t>Empréstimo - Diss</t>
  </si>
  <si>
    <t>HPLC.0034</t>
  </si>
  <si>
    <t>HPLC.0035</t>
  </si>
  <si>
    <t>HPLC.0036</t>
  </si>
  <si>
    <t>HPLC.0037</t>
  </si>
  <si>
    <t>HPLC.0045</t>
  </si>
  <si>
    <t>HPLC.0050</t>
  </si>
  <si>
    <t>Acquity UPLC</t>
  </si>
  <si>
    <t>Alliance 2489</t>
  </si>
  <si>
    <t>Segunda-Feira</t>
  </si>
  <si>
    <t>Quarta-Feira</t>
  </si>
  <si>
    <t>Quinta-Feira</t>
  </si>
  <si>
    <t>Sexta-Feira</t>
  </si>
  <si>
    <t>Sábado</t>
  </si>
  <si>
    <t>Domingo</t>
  </si>
  <si>
    <t>Estatística do mês</t>
  </si>
  <si>
    <t>Janeiro</t>
  </si>
  <si>
    <t>Março</t>
  </si>
  <si>
    <t>Maio</t>
  </si>
  <si>
    <t>Abril</t>
  </si>
  <si>
    <t>Junho</t>
  </si>
  <si>
    <t>Julho</t>
  </si>
  <si>
    <t>Agosto</t>
  </si>
  <si>
    <t>Setembro</t>
  </si>
  <si>
    <t>Outubro</t>
  </si>
  <si>
    <t>Novembro</t>
  </si>
  <si>
    <t>Dezembro</t>
  </si>
  <si>
    <t>Manhã</t>
  </si>
  <si>
    <t>Tarde</t>
  </si>
  <si>
    <t>Dias em uso</t>
  </si>
  <si>
    <t>Dias livre</t>
  </si>
  <si>
    <t>Terça-Feira</t>
  </si>
  <si>
    <t>Fevereiro</t>
  </si>
  <si>
    <t>Samuel</t>
  </si>
  <si>
    <t>Beatriz</t>
  </si>
  <si>
    <t>Marcus</t>
  </si>
  <si>
    <t>Josiane</t>
  </si>
  <si>
    <t>Utilização anual HPLC (dias em uso)</t>
  </si>
  <si>
    <t>Betametasona</t>
  </si>
  <si>
    <t>Formoterol</t>
  </si>
  <si>
    <t>Openlab fora de operação</t>
  </si>
  <si>
    <t>Anderson</t>
  </si>
  <si>
    <t>Trimetoprima</t>
  </si>
  <si>
    <t>Franco</t>
  </si>
  <si>
    <t>Paracetamol</t>
  </si>
  <si>
    <t>Giulia</t>
  </si>
  <si>
    <t>Alprazolan</t>
  </si>
  <si>
    <t>Betametazona</t>
  </si>
  <si>
    <t>Maria Fernanda</t>
  </si>
  <si>
    <t>Tamarine</t>
  </si>
  <si>
    <t>Alprazolam</t>
  </si>
  <si>
    <t xml:space="preserve">Marcus </t>
  </si>
  <si>
    <t>Levetiracetam (Troca HPLC 0061)</t>
  </si>
  <si>
    <t>Trimetazidina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</si>
</sst>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"/>
    <numFmt numFmtId="165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165" fontId="0" fillId="0" borderId="0"/>
  </cellStyleXfs>
  <cellXfs count="69">
    <xf numFmtId="165" fontId="0" fillId="0" borderId="0" xfId="0"/>
    <xf numFmtId="165" fontId="1" fillId="0" borderId="0" xfId="0" applyFont="1" applyBorder="1" applyAlignment="1" applyProtection="1">
      <alignment horizontal="center" vertical="center"/>
    </xf>
    <xf numFmtId="165" fontId="0" fillId="0" borderId="4" xfId="0" applyBorder="1" applyAlignment="1" applyProtection="1">
      <alignment horizontal="center" vertical="center"/>
    </xf>
    <xf numFmtId="165" fontId="0" fillId="0" borderId="5" xfId="0" applyBorder="1" applyAlignment="1" applyProtection="1">
      <alignment horizontal="center" vertical="center"/>
    </xf>
    <xf numFmtId="165" fontId="0" fillId="0" borderId="6" xfId="0" applyBorder="1" applyAlignment="1" applyProtection="1">
      <alignment horizontal="center" vertical="center"/>
    </xf>
    <xf numFmtId="165" fontId="1" fillId="0" borderId="0" xfId="0" applyFont="1" applyBorder="1" applyAlignment="1" applyProtection="1">
      <alignment horizontal="center" vertical="center" wrapText="1"/>
    </xf>
    <xf numFmtId="165" fontId="0" fillId="0" borderId="0" xfId="0" applyAlignment="1" applyProtection="1">
      <alignment horizontal="center" vertical="center"/>
    </xf>
    <xf numFmtId="165" fontId="0" fillId="0" borderId="0" xfId="0" applyFill="1" applyBorder="1" applyAlignment="1" applyProtection="1">
      <alignment horizontal="center" vertical="center"/>
    </xf>
    <xf numFmtId="165" fontId="2" fillId="0" borderId="0" xfId="0" applyFont="1" applyBorder="1" applyAlignment="1" applyProtection="1">
      <alignment horizontal="center" vertical="center"/>
    </xf>
    <xf numFmtId="14" fontId="2" fillId="0" borderId="0" xfId="0" applyNumberFormat="1" applyFont="1" applyBorder="1" applyAlignment="1" applyProtection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5" fontId="0" fillId="0" borderId="0" xfId="0" applyBorder="1" applyAlignment="1" applyProtection="1">
      <alignment horizontal="center" vertical="center"/>
    </xf>
    <xf numFmtId="165" fontId="0" fillId="5" borderId="0" xfId="0" applyFill="1" applyAlignment="1" applyProtection="1">
      <alignment horizontal="center" vertical="center"/>
    </xf>
    <xf numFmtId="165" fontId="5" fillId="4" borderId="10" xfId="0" applyFont="1" applyFill="1" applyBorder="1" applyAlignment="1" applyProtection="1">
      <alignment horizontal="center" vertical="center"/>
    </xf>
    <xf numFmtId="165" fontId="1" fillId="0" borderId="10" xfId="0" applyFont="1" applyBorder="1" applyAlignment="1" applyProtection="1">
      <alignment horizontal="center" vertical="center"/>
    </xf>
    <xf numFmtId="14" fontId="0" fillId="0" borderId="0" xfId="0" applyNumberFormat="1" applyAlignment="1" applyProtection="1">
      <alignment horizontal="center" vertical="center"/>
    </xf>
    <xf numFmtId="0" fontId="0" fillId="0" borderId="0" xfId="0" applyNumberFormat="1" applyAlignment="1" applyProtection="1">
      <alignment horizontal="center" vertical="center"/>
    </xf>
    <xf numFmtId="165" fontId="1" fillId="0" borderId="0" xfId="0" applyFont="1" applyAlignment="1">
      <alignment horizontal="center" vertical="center"/>
    </xf>
    <xf numFmtId="165" fontId="1" fillId="0" borderId="0" xfId="0" applyFont="1" applyFill="1" applyBorder="1" applyAlignment="1" applyProtection="1">
      <alignment horizontal="center" vertical="center"/>
    </xf>
    <xf numFmtId="165" fontId="1" fillId="0" borderId="0" xfId="0" applyFont="1" applyAlignment="1" applyProtection="1">
      <alignment horizontal="center" vertical="center"/>
    </xf>
    <xf numFmtId="165" fontId="0" fillId="0" borderId="11" xfId="0" applyBorder="1" applyAlignment="1" applyProtection="1">
      <alignment horizontal="center" vertical="center"/>
    </xf>
    <xf numFmtId="165" fontId="0" fillId="0" borderId="12" xfId="0" applyBorder="1" applyAlignment="1" applyProtection="1">
      <alignment horizontal="center" vertical="center"/>
    </xf>
    <xf numFmtId="1" fontId="0" fillId="0" borderId="0" xfId="0" applyNumberFormat="1" applyAlignment="1" applyProtection="1">
      <alignment horizontal="center" vertical="center"/>
    </xf>
    <xf numFmtId="165" fontId="0" fillId="0" borderId="13" xfId="0" applyBorder="1" applyAlignment="1" applyProtection="1">
      <alignment horizontal="center" vertical="center"/>
    </xf>
    <xf numFmtId="2" fontId="0" fillId="0" borderId="0" xfId="0" applyNumberFormat="1" applyAlignment="1" applyProtection="1">
      <alignment horizontal="center" vertical="center"/>
    </xf>
    <xf numFmtId="165" fontId="1" fillId="0" borderId="17" xfId="0" applyFont="1" applyBorder="1" applyAlignment="1" applyProtection="1">
      <alignment horizontal="center" vertical="center"/>
    </xf>
    <xf numFmtId="165" fontId="1" fillId="0" borderId="18" xfId="0" applyFont="1" applyBorder="1" applyAlignment="1" applyProtection="1">
      <alignment horizontal="center" vertical="center"/>
    </xf>
    <xf numFmtId="165" fontId="1" fillId="3" borderId="14" xfId="0" applyFont="1" applyFill="1" applyBorder="1" applyAlignment="1" applyProtection="1">
      <alignment horizontal="center" vertical="center" wrapText="1"/>
    </xf>
    <xf numFmtId="1" fontId="1" fillId="3" borderId="14" xfId="0" applyNumberFormat="1" applyFont="1" applyFill="1" applyBorder="1" applyAlignment="1" applyProtection="1">
      <alignment horizontal="center" vertical="center" wrapText="1"/>
    </xf>
    <xf numFmtId="165" fontId="3" fillId="3" borderId="14" xfId="0" applyFont="1" applyFill="1" applyBorder="1" applyAlignment="1" applyProtection="1">
      <alignment horizontal="center" vertical="center" wrapText="1"/>
    </xf>
    <xf numFmtId="165" fontId="1" fillId="3" borderId="22" xfId="0" applyFont="1" applyFill="1" applyBorder="1" applyAlignment="1" applyProtection="1">
      <alignment horizontal="center" vertical="center" wrapText="1"/>
    </xf>
    <xf numFmtId="165" fontId="1" fillId="0" borderId="14" xfId="0" applyFont="1" applyFill="1" applyBorder="1" applyAlignment="1" applyProtection="1">
      <alignment horizontal="center" vertical="center" wrapText="1"/>
      <protection locked="0"/>
    </xf>
    <xf numFmtId="165" fontId="6" fillId="0" borderId="14" xfId="0" applyFont="1" applyFill="1" applyBorder="1" applyAlignment="1" applyProtection="1">
      <alignment horizontal="center" vertical="center" wrapText="1"/>
    </xf>
    <xf numFmtId="165" fontId="0" fillId="0" borderId="20" xfId="0" applyBorder="1" applyAlignment="1" applyProtection="1">
      <alignment horizontal="center" vertical="center"/>
    </xf>
    <xf numFmtId="165" fontId="0" fillId="0" borderId="21" xfId="0" applyBorder="1" applyAlignment="1" applyProtection="1">
      <alignment horizontal="center" vertical="center"/>
    </xf>
    <xf numFmtId="165" fontId="1" fillId="0" borderId="22" xfId="0" applyFont="1" applyFill="1" applyBorder="1" applyAlignment="1" applyProtection="1">
      <alignment horizontal="center" vertical="center" wrapText="1"/>
      <protection locked="0"/>
    </xf>
    <xf numFmtId="165" fontId="1" fillId="0" borderId="23" xfId="0" applyFont="1" applyFill="1" applyBorder="1" applyAlignment="1" applyProtection="1">
      <alignment horizontal="center" vertical="center" wrapText="1"/>
      <protection locked="0"/>
    </xf>
    <xf numFmtId="165" fontId="1" fillId="0" borderId="19" xfId="0" applyFont="1" applyFill="1" applyBorder="1" applyAlignment="1" applyProtection="1">
      <alignment horizontal="center" vertical="center" wrapText="1"/>
      <protection locked="0"/>
    </xf>
    <xf numFmtId="165" fontId="0" fillId="0" borderId="8" xfId="0" applyBorder="1" applyAlignment="1" applyProtection="1">
      <alignment horizontal="center" vertical="center"/>
    </xf>
    <xf numFmtId="165" fontId="0" fillId="0" borderId="0" xfId="0" applyFill="1" applyBorder="1" applyAlignment="1" applyProtection="1">
      <alignment horizontal="center" vertical="center"/>
    </xf>
    <xf numFmtId="165" fontId="1" fillId="3" borderId="17" xfId="0" applyFont="1" applyFill="1" applyBorder="1" applyAlignment="1" applyProtection="1">
      <alignment horizontal="center" vertical="center" wrapText="1"/>
    </xf>
    <xf numFmtId="165" fontId="1" fillId="3" borderId="18" xfId="0" applyFont="1" applyFill="1" applyBorder="1" applyAlignment="1" applyProtection="1">
      <alignment horizontal="center" vertical="center" wrapText="1"/>
    </xf>
    <xf numFmtId="1" fontId="1" fillId="3" borderId="18" xfId="0" applyNumberFormat="1" applyFont="1" applyFill="1" applyBorder="1" applyAlignment="1" applyProtection="1">
      <alignment horizontal="center" vertical="center" wrapText="1"/>
    </xf>
    <xf numFmtId="165" fontId="3" fillId="3" borderId="18" xfId="0" applyFont="1" applyFill="1" applyBorder="1" applyAlignment="1" applyProtection="1">
      <alignment horizontal="center" vertical="center" wrapText="1"/>
    </xf>
    <xf numFmtId="165" fontId="3" fillId="3" borderId="26" xfId="0" applyFont="1" applyFill="1" applyBorder="1" applyAlignment="1" applyProtection="1">
      <alignment horizontal="center" vertical="center" wrapText="1"/>
    </xf>
    <xf numFmtId="0" fontId="2" fillId="0" borderId="0" xfId="0" applyNumberFormat="1" applyFont="1" applyBorder="1" applyAlignment="1" applyProtection="1">
      <alignment horizontal="center" vertical="center"/>
    </xf>
    <xf numFmtId="165" fontId="1" fillId="0" borderId="0" xfId="0" applyFont="1"/>
    <xf numFmtId="165" fontId="1" fillId="0" borderId="10" xfId="0" applyFont="1" applyBorder="1"/>
    <xf numFmtId="165" fontId="0" fillId="0" borderId="10" xfId="0" applyBorder="1" applyAlignment="1">
      <alignment horizontal="center" vertical="center"/>
    </xf>
    <xf numFmtId="165" fontId="1" fillId="0" borderId="10" xfId="0" applyFont="1" applyFill="1" applyBorder="1" applyAlignment="1" applyProtection="1">
      <alignment horizontal="center" vertical="center"/>
    </xf>
    <xf numFmtId="165" fontId="0" fillId="0" borderId="10" xfId="0" applyBorder="1" applyAlignment="1" applyProtection="1">
      <alignment horizontal="center" vertical="center"/>
    </xf>
    <xf numFmtId="1" fontId="0" fillId="0" borderId="0" xfId="0" applyNumberFormat="1"/>
    <xf numFmtId="0" fontId="0" fillId="0" borderId="0" xfId="0" applyNumberFormat="1"/>
    <xf numFmtId="165" fontId="1" fillId="0" borderId="0" xfId="0" applyFont="1" applyAlignment="1" applyProtection="1">
      <alignment horizontal="center" vertical="center"/>
    </xf>
    <xf numFmtId="165" fontId="7" fillId="0" borderId="14" xfId="0" applyFont="1" applyBorder="1" applyAlignment="1" applyProtection="1">
      <alignment horizontal="center" vertical="center"/>
    </xf>
    <xf numFmtId="0" fontId="0" fillId="0" borderId="15" xfId="0" applyNumberFormat="1" applyBorder="1" applyAlignment="1" applyProtection="1">
      <alignment horizontal="center" vertical="center"/>
    </xf>
    <xf numFmtId="0" fontId="0" fillId="0" borderId="16" xfId="0" applyNumberFormat="1" applyBorder="1" applyAlignment="1" applyProtection="1">
      <alignment horizontal="center" vertical="center"/>
    </xf>
    <xf numFmtId="0" fontId="0" fillId="0" borderId="25" xfId="0" applyNumberFormat="1" applyBorder="1" applyAlignment="1" applyProtection="1">
      <alignment horizontal="center" vertical="center"/>
    </xf>
    <xf numFmtId="165" fontId="4" fillId="0" borderId="7" xfId="0" applyFont="1" applyBorder="1" applyAlignment="1" applyProtection="1">
      <alignment horizontal="center" vertical="center"/>
    </xf>
    <xf numFmtId="165" fontId="4" fillId="0" borderId="8" xfId="0" applyFont="1" applyBorder="1" applyAlignment="1" applyProtection="1">
      <alignment horizontal="center" vertical="center"/>
    </xf>
    <xf numFmtId="165" fontId="1" fillId="0" borderId="7" xfId="0" applyFont="1" applyBorder="1" applyAlignment="1" applyProtection="1">
      <alignment horizontal="center" vertical="center"/>
    </xf>
    <xf numFmtId="165" fontId="1" fillId="0" borderId="8" xfId="0" applyFont="1" applyBorder="1" applyAlignment="1" applyProtection="1">
      <alignment horizontal="center" vertical="center"/>
    </xf>
    <xf numFmtId="165" fontId="1" fillId="0" borderId="9" xfId="0" applyFont="1" applyBorder="1" applyAlignment="1" applyProtection="1">
      <alignment horizontal="center" vertical="center"/>
    </xf>
    <xf numFmtId="164" fontId="0" fillId="2" borderId="2" xfId="0" applyNumberFormat="1" applyFill="1" applyBorder="1" applyAlignment="1" applyProtection="1">
      <alignment horizontal="center" vertical="center"/>
    </xf>
    <xf numFmtId="164" fontId="0" fillId="2" borderId="3" xfId="0" applyNumberFormat="1" applyFill="1" applyBorder="1" applyAlignment="1" applyProtection="1">
      <alignment horizontal="center" vertical="center"/>
    </xf>
    <xf numFmtId="164" fontId="0" fillId="2" borderId="24" xfId="0" applyNumberFormat="1" applyFill="1" applyBorder="1" applyAlignment="1" applyProtection="1">
      <alignment horizontal="center" vertical="center"/>
    </xf>
    <xf numFmtId="165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144"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0099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CCCC"/>
      <color rgb="FFFFB265"/>
      <color rgb="FFFFCC99"/>
      <color rgb="FF009900"/>
      <color rgb="FF008080"/>
      <color rgb="FF00FF99"/>
      <color rgb="FF33CC33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ANUAL'!$B$22:$C$22</c:f>
              <c:strCache>
                <c:ptCount val="1"/>
                <c:pt idx="0">
                  <c:v>HPLC.0034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'USO ANUAL'!$B$23:$B$34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'USO ANUAL'!$C$23:$C$34</c:f>
              <c:numCache>
                <c:formatCode>0</c:formatCode>
                <c:ptCount val="12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0-456A-A868-C202D55F3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082543"/>
        <c:axId val="1446084207"/>
      </c:barChart>
      <c:catAx>
        <c:axId val="14460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4207"/>
        <c:crosses val="autoZero"/>
        <c:auto val="1"/>
        <c:lblAlgn val="ctr"/>
        <c:lblOffset val="100"/>
        <c:noMultiLvlLbl val="0"/>
      </c:catAx>
      <c:valAx>
        <c:axId val="14460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ANUAL'!$D$22:$E$22</c:f>
              <c:strCache>
                <c:ptCount val="1"/>
                <c:pt idx="0">
                  <c:v>HPLC.0035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'USO ANUAL'!$B$23:$B$34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'USO ANUAL'!$E$23:$E$34</c:f>
              <c:numCache>
                <c:formatCode>0</c:formatCode>
                <c:ptCount val="12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C-4C29-AC75-E712A9455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082543"/>
        <c:axId val="1446084207"/>
      </c:barChart>
      <c:catAx>
        <c:axId val="14460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4207"/>
        <c:crosses val="autoZero"/>
        <c:auto val="1"/>
        <c:lblAlgn val="ctr"/>
        <c:lblOffset val="100"/>
        <c:noMultiLvlLbl val="0"/>
      </c:catAx>
      <c:valAx>
        <c:axId val="14460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ANUAL'!$F$22:$G$22</c:f>
              <c:strCache>
                <c:ptCount val="1"/>
                <c:pt idx="0">
                  <c:v>HPLC.0036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'USO ANUAL'!$B$23:$B$34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'USO ANUAL'!$G$23:$G$34</c:f>
              <c:numCache>
                <c:formatCode>0</c:formatCode>
                <c:ptCount val="1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A-44ED-9BA8-F4C4FD7E3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082543"/>
        <c:axId val="1446084207"/>
      </c:barChart>
      <c:catAx>
        <c:axId val="14460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4207"/>
        <c:crosses val="autoZero"/>
        <c:auto val="1"/>
        <c:lblAlgn val="ctr"/>
        <c:lblOffset val="100"/>
        <c:noMultiLvlLbl val="0"/>
      </c:catAx>
      <c:valAx>
        <c:axId val="14460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ANUAL'!$H$22:$I$22</c:f>
              <c:strCache>
                <c:ptCount val="1"/>
                <c:pt idx="0">
                  <c:v>HPLC.0037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'USO ANUAL'!$B$23:$B$34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'USO ANUAL'!$I$23:$I$34</c:f>
              <c:numCache>
                <c:formatCode>0</c:formatCode>
                <c:ptCount val="1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D-4694-84CB-76125F74B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082543"/>
        <c:axId val="1446084207"/>
      </c:barChart>
      <c:catAx>
        <c:axId val="14460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4207"/>
        <c:crosses val="autoZero"/>
        <c:auto val="1"/>
        <c:lblAlgn val="ctr"/>
        <c:lblOffset val="100"/>
        <c:noMultiLvlLbl val="0"/>
      </c:catAx>
      <c:valAx>
        <c:axId val="14460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ANUAL'!$J$22:$K$22</c:f>
              <c:strCache>
                <c:ptCount val="1"/>
                <c:pt idx="0">
                  <c:v>HPLC.0045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'USO ANUAL'!$B$23:$B$34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'USO ANUAL'!$K$23:$K$34</c:f>
              <c:numCache>
                <c:formatCode>0</c:formatCode>
                <c:ptCount val="1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B-472B-B49E-689BF5F8F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082543"/>
        <c:axId val="1446084207"/>
      </c:barChart>
      <c:catAx>
        <c:axId val="14460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4207"/>
        <c:crosses val="autoZero"/>
        <c:auto val="1"/>
        <c:lblAlgn val="ctr"/>
        <c:lblOffset val="100"/>
        <c:noMultiLvlLbl val="0"/>
      </c:catAx>
      <c:valAx>
        <c:axId val="14460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ANUAL'!$L$22:$M$22</c:f>
              <c:strCache>
                <c:ptCount val="1"/>
                <c:pt idx="0">
                  <c:v>HPLC.0050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hade val="51000"/>
                    <a:satMod val="130000"/>
                  </a:schemeClr>
                </a:gs>
                <a:gs pos="80000">
                  <a:schemeClr val="dk1">
                    <a:tint val="88500"/>
                    <a:shade val="93000"/>
                    <a:satMod val="130000"/>
                  </a:schemeClr>
                </a:gs>
                <a:gs pos="100000">
                  <a:schemeClr val="dk1">
                    <a:tint val="885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'USO ANUAL'!$B$23:$B$34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'USO ANUAL'!$M$23:$M$34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B-48B7-AE7D-B8B15ECE7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082543"/>
        <c:axId val="1446084207"/>
      </c:barChart>
      <c:catAx>
        <c:axId val="14460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4207"/>
        <c:crosses val="autoZero"/>
        <c:auto val="1"/>
        <c:lblAlgn val="ctr"/>
        <c:lblOffset val="100"/>
        <c:noMultiLvlLbl val="0"/>
      </c:catAx>
      <c:valAx>
        <c:axId val="14460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FD-415E-B3A7-813634E51D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41D-44B3-B155-444F5BD6A4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41D-44B3-B155-444F5BD6A4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41D-44B3-B155-444F5BD6A4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41D-44B3-B155-444F5BD6A44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41D-44B3-B155-444F5BD6A44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41D-44B3-B155-444F5BD6A44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D41D-44B3-B155-444F5BD6A44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D41D-44B3-B155-444F5BD6A44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D41D-44B3-B155-444F5BD6A44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D41D-44B3-B155-444F5BD6A44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D41D-44B3-B155-444F5BD6A44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D41D-44B3-B155-444F5BD6A44E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41D-44B3-B155-444F5BD6A44E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41D-44B3-B155-444F5BD6A44E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41D-44B3-B155-444F5BD6A44E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41D-44B3-B155-444F5BD6A44E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D41D-44B3-B155-444F5BD6A44E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D41D-44B3-B155-444F5BD6A44E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D41D-44B3-B155-444F5BD6A44E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D41D-44B3-B155-444F5BD6A44E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D41D-44B3-B155-444F5BD6A44E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D41D-44B3-B155-444F5BD6A44E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D41D-44B3-B155-444F5BD6A44E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41D-44B3-B155-444F5BD6A4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MP_Jan.20!$A$57:$A$68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MP_Jan.20!$B$57:$B$68</c:f>
              <c:numCache>
                <c:formatCode>General</c:formatCode>
                <c:ptCount val="12"/>
                <c:pt idx="1">
                  <c:v>2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41D-44B3-B155-444F5BD6A44E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03FD-415E-B3A7-813634E51D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03FD-415E-B3A7-813634E51D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03FD-415E-B3A7-813634E51D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03FD-415E-B3A7-813634E51DD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03FD-415E-B3A7-813634E51DD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03FD-415E-B3A7-813634E51DD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03FD-415E-B3A7-813634E51DD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9-03FD-415E-B3A7-813634E51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MP_Jan.20!$A$57:$A$68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MP_Jan.20!$C$57:$C$64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41D-44B3-B155-444F5BD6A44E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B-03FD-415E-B3A7-813634E51D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03FD-415E-B3A7-813634E51D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03FD-415E-B3A7-813634E51D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03FD-415E-B3A7-813634E51DD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03FD-415E-B3A7-813634E51DD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03FD-415E-B3A7-813634E51DD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03FD-415E-B3A7-813634E51DD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03FD-415E-B3A7-813634E51D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MP_Jan.20!$A$57:$A$68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MP_Jan.20!$D$57:$D$64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41D-44B3-B155-444F5BD6A44E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MP_Jan.20!$G$48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MP_Jan.20!$H$47:$M$47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MP_Jan.20!$H$48:$M$48</c:f>
              <c:numCache>
                <c:formatCode>0</c:formatCode>
                <c:ptCount val="6"/>
                <c:pt idx="0">
                  <c:v>13</c:v>
                </c:pt>
                <c:pt idx="1">
                  <c:v>13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8-4FB7-95A4-625CC897307F}"/>
            </c:ext>
          </c:extLst>
        </c:ser>
        <c:ser>
          <c:idx val="1"/>
          <c:order val="1"/>
          <c:tx>
            <c:strRef>
              <c:f>MP_Jan.20!$G$49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MP_Jan.20!$H$47:$M$47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MP_Jan.20!$H$49:$M$49</c:f>
              <c:numCache>
                <c:formatCode>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68-4FB7-95A4-625CC89730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9F7-466F-84E7-3B68DE536A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9F7-466F-84E7-3B68DE536A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9F7-466F-84E7-3B68DE536A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9F7-466F-84E7-3B68DE536A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9F7-466F-84E7-3B68DE536A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9F7-466F-84E7-3B68DE536A1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9F7-466F-84E7-3B68DE536A1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9F7-466F-84E7-3B68DE536A1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9F7-466F-84E7-3B68DE536A1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9F7-466F-84E7-3B68DE536A1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9F7-466F-84E7-3B68DE536A1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9F7-466F-84E7-3B68DE536A1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E9F7-466F-84E7-3B68DE536A1D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F7-466F-84E7-3B68DE536A1D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F7-466F-84E7-3B68DE536A1D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F7-466F-84E7-3B68DE536A1D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9F7-466F-84E7-3B68DE536A1D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9F7-466F-84E7-3B68DE536A1D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9F7-466F-84E7-3B68DE536A1D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9F7-466F-84E7-3B68DE536A1D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F7-466F-84E7-3B68DE536A1D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9F7-466F-84E7-3B68DE536A1D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9F7-466F-84E7-3B68DE536A1D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9F7-466F-84E7-3B68DE536A1D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9F7-466F-84E7-3B68DE536A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MP_Fev.20!$A$57:$A$68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MP_Fev.20!$B$57:$B$68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F7-466F-84E7-3B68DE536A1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E9F7-466F-84E7-3B68DE536A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E9F7-466F-84E7-3B68DE536A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E9F7-466F-84E7-3B68DE536A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E9F7-466F-84E7-3B68DE536A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E9F7-466F-84E7-3B68DE536A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E9F7-466F-84E7-3B68DE536A1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E9F7-466F-84E7-3B68DE536A1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E9F7-466F-84E7-3B68DE536A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MP_Fev.20!$A$57:$A$68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MP_Fev.20!$C$57:$C$64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9F7-466F-84E7-3B68DE536A1D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E9F7-466F-84E7-3B68DE536A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E9F7-466F-84E7-3B68DE536A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E9F7-466F-84E7-3B68DE536A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E9F7-466F-84E7-3B68DE536A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E9F7-466F-84E7-3B68DE536A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E9F7-466F-84E7-3B68DE536A1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E9F7-466F-84E7-3B68DE536A1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E9F7-466F-84E7-3B68DE536A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MP_Fev.20!$A$57:$A$68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MP_Fev.20!$D$57:$D$64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9F7-466F-84E7-3B68DE536A1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MP_Fev.20!$G$48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MP_Fev.20!$H$47:$M$47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MP_Fev.20!$H$48:$M$48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DC-4996-8BDE-E1D4FA8771C3}"/>
            </c:ext>
          </c:extLst>
        </c:ser>
        <c:ser>
          <c:idx val="1"/>
          <c:order val="1"/>
          <c:tx>
            <c:strRef>
              <c:f>MP_Fev.20!$G$49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MP_Fev.20!$H$47:$M$47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MP_Fev.20!$H$49:$M$49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DC-4996-8BDE-E1D4FA877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EE6-4950-9DDC-E7EF35C69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EE6-4950-9DDC-E7EF35C69D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EE6-4950-9DDC-E7EF35C69D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EE6-4950-9DDC-E7EF35C69DB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EE6-4950-9DDC-E7EF35C69DB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EE6-4950-9DDC-E7EF35C69DB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EE6-4950-9DDC-E7EF35C69DB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EE6-4950-9DDC-E7EF35C69DB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EE6-4950-9DDC-E7EF35C69DB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FEE6-4950-9DDC-E7EF35C69DB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FEE6-4950-9DDC-E7EF35C69DB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FEE6-4950-9DDC-E7EF35C69DB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FEE6-4950-9DDC-E7EF35C69DB3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E6-4950-9DDC-E7EF35C69DB3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E6-4950-9DDC-E7EF35C69DB3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E6-4950-9DDC-E7EF35C69DB3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E6-4950-9DDC-E7EF35C69DB3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E6-4950-9DDC-E7EF35C69DB3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E6-4950-9DDC-E7EF35C69DB3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EE6-4950-9DDC-E7EF35C69DB3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EE6-4950-9DDC-E7EF35C69DB3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E6-4950-9DDC-E7EF35C69DB3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EE6-4950-9DDC-E7EF35C69DB3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EE6-4950-9DDC-E7EF35C69DB3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EE6-4950-9DDC-E7EF35C69D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MP_Mar.20!$A$57:$A$68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MP_Mar.20!$B$57:$B$68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EE6-4950-9DDC-E7EF35C69DB3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FEE6-4950-9DDC-E7EF35C69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FEE6-4950-9DDC-E7EF35C69D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FEE6-4950-9DDC-E7EF35C69D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FEE6-4950-9DDC-E7EF35C69DB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FEE6-4950-9DDC-E7EF35C69DB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FEE6-4950-9DDC-E7EF35C69DB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FEE6-4950-9DDC-E7EF35C69DB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FEE6-4950-9DDC-E7EF35C69D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MP_Mar.20!$A$57:$A$68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MP_Mar.20!$C$57:$C$64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EE6-4950-9DDC-E7EF35C69DB3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FEE6-4950-9DDC-E7EF35C69D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FEE6-4950-9DDC-E7EF35C69DB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FEE6-4950-9DDC-E7EF35C69DB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FEE6-4950-9DDC-E7EF35C69DB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FEE6-4950-9DDC-E7EF35C69DB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FEE6-4950-9DDC-E7EF35C69DB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FEE6-4950-9DDC-E7EF35C69DB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FEE6-4950-9DDC-E7EF35C69D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MP_Mar.20!$A$57:$A$68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MP_Mar.20!$D$57:$D$64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EE6-4950-9DDC-E7EF35C69DB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MP_Mar.20!$G$48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MP_Mar.20!$H$47:$M$47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MP_Mar.20!$H$48:$M$48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E-40E5-B114-065975D60FE2}"/>
            </c:ext>
          </c:extLst>
        </c:ser>
        <c:ser>
          <c:idx val="1"/>
          <c:order val="1"/>
          <c:tx>
            <c:strRef>
              <c:f>MP_Mar.20!$G$49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MP_Mar.20!$H$47:$M$47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MP_Mar.20!$H$49:$M$49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E-40E5-B114-065975D60F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680-401B-B39E-F7F2CD4FD4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680-401B-B39E-F7F2CD4FD4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680-401B-B39E-F7F2CD4FD4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680-401B-B39E-F7F2CD4FD4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680-401B-B39E-F7F2CD4FD4F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680-401B-B39E-F7F2CD4FD4F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680-401B-B39E-F7F2CD4FD4F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680-401B-B39E-F7F2CD4FD4F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680-401B-B39E-F7F2CD4FD4F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680-401B-B39E-F7F2CD4FD4F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680-401B-B39E-F7F2CD4FD4F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680-401B-B39E-F7F2CD4FD4F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E680-401B-B39E-F7F2CD4FD4F3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80-401B-B39E-F7F2CD4FD4F3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80-401B-B39E-F7F2CD4FD4F3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680-401B-B39E-F7F2CD4FD4F3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680-401B-B39E-F7F2CD4FD4F3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680-401B-B39E-F7F2CD4FD4F3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680-401B-B39E-F7F2CD4FD4F3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680-401B-B39E-F7F2CD4FD4F3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680-401B-B39E-F7F2CD4FD4F3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680-401B-B39E-F7F2CD4FD4F3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680-401B-B39E-F7F2CD4FD4F3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680-401B-B39E-F7F2CD4FD4F3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680-401B-B39E-F7F2CD4FD4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MP_Abr.20!$A$57:$A$68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MP_Abr.20!$B$57:$B$68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680-401B-B39E-F7F2CD4FD4F3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E680-401B-B39E-F7F2CD4FD4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E680-401B-B39E-F7F2CD4FD4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E680-401B-B39E-F7F2CD4FD4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E680-401B-B39E-F7F2CD4FD4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E680-401B-B39E-F7F2CD4FD4F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E680-401B-B39E-F7F2CD4FD4F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E680-401B-B39E-F7F2CD4FD4F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E680-401B-B39E-F7F2CD4FD4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MP_Abr.20!$A$57:$A$68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MP_Abr.20!$C$57:$C$64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680-401B-B39E-F7F2CD4FD4F3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E680-401B-B39E-F7F2CD4FD4F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E680-401B-B39E-F7F2CD4FD4F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E680-401B-B39E-F7F2CD4FD4F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E680-401B-B39E-F7F2CD4FD4F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E680-401B-B39E-F7F2CD4FD4F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E680-401B-B39E-F7F2CD4FD4F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E680-401B-B39E-F7F2CD4FD4F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E680-401B-B39E-F7F2CD4FD4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MP_Abr.20!$A$57:$A$68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MP_Abr.20!$D$57:$D$64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680-401B-B39E-F7F2CD4FD4F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MP_Abr.20!$G$48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MP_Abr.20!$H$47:$M$47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MP_Abr.20!$H$48:$M$48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7-47E8-82C6-5C97FA511401}"/>
            </c:ext>
          </c:extLst>
        </c:ser>
        <c:ser>
          <c:idx val="1"/>
          <c:order val="1"/>
          <c:tx>
            <c:strRef>
              <c:f>MP_Abr.20!$G$49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MP_Abr.20!$H$47:$M$47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MP_Abr.20!$H$49:$M$49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7-47E8-82C6-5C97FA5114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149-47DF-B003-4003980AC0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149-47DF-B003-4003980AC0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149-47DF-B003-4003980AC0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149-47DF-B003-4003980AC0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3149-47DF-B003-4003980AC0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3149-47DF-B003-4003980AC08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3149-47DF-B003-4003980AC08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3149-47DF-B003-4003980AC08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3149-47DF-B003-4003980AC08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3149-47DF-B003-4003980AC08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3149-47DF-B003-4003980AC08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3149-47DF-B003-4003980AC08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3149-47DF-B003-4003980AC086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49-47DF-B003-4003980AC086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49-47DF-B003-4003980AC086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49-47DF-B003-4003980AC086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49-47DF-B003-4003980AC086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149-47DF-B003-4003980AC086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149-47DF-B003-4003980AC086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149-47DF-B003-4003980AC086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149-47DF-B003-4003980AC086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149-47DF-B003-4003980AC086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149-47DF-B003-4003980AC086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149-47DF-B003-4003980AC086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149-47DF-B003-4003980AC0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MP_Mai.20!$A$57:$A$68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MP_Mai.20!$B$57:$B$68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149-47DF-B003-4003980AC086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3149-47DF-B003-4003980AC0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3149-47DF-B003-4003980AC0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3149-47DF-B003-4003980AC0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3149-47DF-B003-4003980AC0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3149-47DF-B003-4003980AC0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3149-47DF-B003-4003980AC08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3149-47DF-B003-4003980AC08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3149-47DF-B003-4003980AC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MP_Mai.20!$A$57:$A$68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MP_Mai.20!$C$57:$C$64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149-47DF-B003-4003980AC086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3149-47DF-B003-4003980AC0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3149-47DF-B003-4003980AC0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3149-47DF-B003-4003980AC0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3149-47DF-B003-4003980AC0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3149-47DF-B003-4003980AC08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3149-47DF-B003-4003980AC08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3149-47DF-B003-4003980AC08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3149-47DF-B003-4003980AC0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MP_Mai.20!$A$57:$A$68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MP_Mai.20!$D$57:$D$64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3149-47DF-B003-4003980AC08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MP_Mai.20!$G$48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MP_Mai.20!$H$47:$M$47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MP_Mai.20!$H$48:$M$48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3-4911-8E01-649535B6DAEA}"/>
            </c:ext>
          </c:extLst>
        </c:ser>
        <c:ser>
          <c:idx val="1"/>
          <c:order val="1"/>
          <c:tx>
            <c:strRef>
              <c:f>MP_Mai.20!$G$49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MP_Mai.20!$H$47:$M$47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MP_Mai.20!$H$49:$M$49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3-4911-8E01-649535B6DA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8B5-4733-8374-720C2555A0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8B5-4733-8374-720C2555A0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8B5-4733-8374-720C2555A0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8B5-4733-8374-720C2555A0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8B5-4733-8374-720C2555A0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8B5-4733-8374-720C2555A01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8B5-4733-8374-720C2555A01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8B5-4733-8374-720C2555A01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78B5-4733-8374-720C2555A01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78B5-4733-8374-720C2555A01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78B5-4733-8374-720C2555A01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78B5-4733-8374-720C2555A01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78B5-4733-8374-720C2555A01D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B5-4733-8374-720C2555A01D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B5-4733-8374-720C2555A01D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B5-4733-8374-720C2555A01D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8B5-4733-8374-720C2555A01D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8B5-4733-8374-720C2555A01D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8B5-4733-8374-720C2555A01D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8B5-4733-8374-720C2555A01D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8B5-4733-8374-720C2555A01D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8B5-4733-8374-720C2555A01D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8B5-4733-8374-720C2555A01D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8B5-4733-8374-720C2555A01D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8B5-4733-8374-720C2555A0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MP_Jun.20!$A$57:$A$68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MP_Jun.20!$B$57:$B$68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8B5-4733-8374-720C2555A01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78B5-4733-8374-720C2555A0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78B5-4733-8374-720C2555A0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78B5-4733-8374-720C2555A0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78B5-4733-8374-720C2555A0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78B5-4733-8374-720C2555A0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78B5-4733-8374-720C2555A01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78B5-4733-8374-720C2555A01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78B5-4733-8374-720C2555A0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MP_Jun.20!$A$57:$A$68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MP_Jun.20!$C$57:$C$64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8B5-4733-8374-720C2555A01D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78B5-4733-8374-720C2555A01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78B5-4733-8374-720C2555A01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78B5-4733-8374-720C2555A01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78B5-4733-8374-720C2555A0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78B5-4733-8374-720C2555A0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78B5-4733-8374-720C2555A01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78B5-4733-8374-720C2555A01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78B5-4733-8374-720C2555A0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MP_Jun.20!$A$57:$A$68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MP_Jun.20!$D$57:$D$64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8B5-4733-8374-720C2555A01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MP_Jun.20!$G$48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MP_Jun.20!$H$47:$M$47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MP_Jun.20!$H$48:$M$48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E-47CC-A05C-68D8EBDB18CB}"/>
            </c:ext>
          </c:extLst>
        </c:ser>
        <c:ser>
          <c:idx val="1"/>
          <c:order val="1"/>
          <c:tx>
            <c:strRef>
              <c:f>MP_Jun.20!$G$49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MP_Jun.20!$H$47:$M$47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MP_Jun.20!$H$49:$M$49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9E-47CC-A05C-68D8EBDB18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BBD-4249-8244-5EF89F65F6F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BBD-4249-8244-5EF89F65F6F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BBD-4249-8244-5EF89F65F6F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BBD-4249-8244-5EF89F65F6F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BBD-4249-8244-5EF89F65F6F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BBD-4249-8244-5EF89F65F6F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BBD-4249-8244-5EF89F65F6F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BBD-4249-8244-5EF89F65F6F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BBD-4249-8244-5EF89F65F6FF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BBD-4249-8244-5EF89F65F6FF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BBD-4249-8244-5EF89F65F6FF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EBBD-4249-8244-5EF89F65F6F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EBBD-4249-8244-5EF89F65F6FF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BD-4249-8244-5EF89F65F6FF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BD-4249-8244-5EF89F65F6FF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BD-4249-8244-5EF89F65F6FF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BD-4249-8244-5EF89F65F6FF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BBD-4249-8244-5EF89F65F6FF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BD-4249-8244-5EF89F65F6FF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BD-4249-8244-5EF89F65F6FF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BD-4249-8244-5EF89F65F6FF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BD-4249-8244-5EF89F65F6FF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BD-4249-8244-5EF89F65F6FF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BBD-4249-8244-5EF89F65F6FF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BBD-4249-8244-5EF89F65F6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MP_Jul.20!$A$57:$A$68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MP_Jul.20!$B$57:$B$68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BBD-4249-8244-5EF89F65F6FF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EBBD-4249-8244-5EF89F65F6F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EBBD-4249-8244-5EF89F65F6F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EBBD-4249-8244-5EF89F65F6F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EBBD-4249-8244-5EF89F65F6F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EBBD-4249-8244-5EF89F65F6F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EBBD-4249-8244-5EF89F65F6F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EBBD-4249-8244-5EF89F65F6F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EBBD-4249-8244-5EF89F65F6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MP_Jul.20!$A$57:$A$68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MP_Jul.20!$C$57:$C$64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EBBD-4249-8244-5EF89F65F6FF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EBBD-4249-8244-5EF89F65F6F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EBBD-4249-8244-5EF89F65F6F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EBBD-4249-8244-5EF89F65F6F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EBBD-4249-8244-5EF89F65F6F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EBBD-4249-8244-5EF89F65F6F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EBBD-4249-8244-5EF89F65F6F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EBBD-4249-8244-5EF89F65F6F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EBBD-4249-8244-5EF89F65F6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MP_Jul.20!$A$57:$A$68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MP_Jul.20!$D$57:$D$64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EBBD-4249-8244-5EF89F65F6F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MP_Jul.20!$G$48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MP_Jul.20!$H$47:$M$47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MP_Jul.20!$H$48:$M$48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2-40E0-AAEE-96C77A99CF31}"/>
            </c:ext>
          </c:extLst>
        </c:ser>
        <c:ser>
          <c:idx val="1"/>
          <c:order val="1"/>
          <c:tx>
            <c:strRef>
              <c:f>MP_Jul.20!$G$49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MP_Jul.20!$H$47:$M$47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MP_Jul.20!$H$49:$M$49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2-40E0-AAEE-96C77A99CF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34C5-4925-BC77-78162FEC0B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34C5-4925-BC77-78162FEC0B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34C5-4925-BC77-78162FEC0BD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34C5-4925-BC77-78162FEC0BD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34C5-4925-BC77-78162FEC0BD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34C5-4925-BC77-78162FEC0BD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34C5-4925-BC77-78162FEC0BD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34C5-4925-BC77-78162FEC0BD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34C5-4925-BC77-78162FEC0BD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34C5-4925-BC77-78162FEC0BD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34C5-4925-BC77-78162FEC0BD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34C5-4925-BC77-78162FEC0BD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34C5-4925-BC77-78162FEC0BD6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C5-4925-BC77-78162FEC0BD6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C5-4925-BC77-78162FEC0BD6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C5-4925-BC77-78162FEC0BD6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C5-4925-BC77-78162FEC0BD6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C5-4925-BC77-78162FEC0BD6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4C5-4925-BC77-78162FEC0BD6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4C5-4925-BC77-78162FEC0BD6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4C5-4925-BC77-78162FEC0BD6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4C5-4925-BC77-78162FEC0BD6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4C5-4925-BC77-78162FEC0BD6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4C5-4925-BC77-78162FEC0BD6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4C5-4925-BC77-78162FEC0B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MP_Ago.20!$A$57:$A$68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MP_Ago.20!$B$57:$B$68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4C5-4925-BC77-78162FEC0BD6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34C5-4925-BC77-78162FEC0B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34C5-4925-BC77-78162FEC0B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34C5-4925-BC77-78162FEC0BD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34C5-4925-BC77-78162FEC0BD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34C5-4925-BC77-78162FEC0BD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34C5-4925-BC77-78162FEC0BD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34C5-4925-BC77-78162FEC0BD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34C5-4925-BC77-78162FEC0B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MP_Ago.20!$A$57:$A$68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MP_Ago.20!$C$57:$C$64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34C5-4925-BC77-78162FEC0BD6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34C5-4925-BC77-78162FEC0B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34C5-4925-BC77-78162FEC0B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34C5-4925-BC77-78162FEC0BD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34C5-4925-BC77-78162FEC0BD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34C5-4925-BC77-78162FEC0BD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34C5-4925-BC77-78162FEC0BD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34C5-4925-BC77-78162FEC0BD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34C5-4925-BC77-78162FEC0B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MP_Ago.20!$A$57:$A$68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MP_Ago.20!$D$57:$D$64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34C5-4925-BC77-78162FEC0BD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MP_Ago.20!$G$48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MP_Ago.20!$H$47:$M$47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MP_Ago.20!$H$48:$M$48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3-48AA-B524-DA4307988B14}"/>
            </c:ext>
          </c:extLst>
        </c:ser>
        <c:ser>
          <c:idx val="1"/>
          <c:order val="1"/>
          <c:tx>
            <c:strRef>
              <c:f>MP_Ago.20!$G$49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MP_Ago.20!$H$47:$M$47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MP_Ago.20!$H$49:$M$49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3-48AA-B524-DA4307988B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455-4077-B7CD-E36FB94AFD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455-4077-B7CD-E36FB94AFD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455-4077-B7CD-E36FB94AFD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455-4077-B7CD-E36FB94AFD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455-4077-B7CD-E36FB94AFD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455-4077-B7CD-E36FB94AFD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455-4077-B7CD-E36FB94AFD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455-4077-B7CD-E36FB94AFD4D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7455-4077-B7CD-E36FB94AFD4D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7455-4077-B7CD-E36FB94AFD4D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7455-4077-B7CD-E36FB94AFD4D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7455-4077-B7CD-E36FB94AFD4D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7455-4077-B7CD-E36FB94AFD4D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55-4077-B7CD-E36FB94AFD4D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55-4077-B7CD-E36FB94AFD4D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455-4077-B7CD-E36FB94AFD4D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455-4077-B7CD-E36FB94AFD4D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455-4077-B7CD-E36FB94AFD4D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455-4077-B7CD-E36FB94AFD4D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455-4077-B7CD-E36FB94AFD4D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455-4077-B7CD-E36FB94AFD4D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455-4077-B7CD-E36FB94AFD4D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455-4077-B7CD-E36FB94AFD4D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455-4077-B7CD-E36FB94AFD4D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455-4077-B7CD-E36FB94AFD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MP_Set.20!$A$57:$A$68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MP_Set.20!$B$57:$B$68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455-4077-B7CD-E36FB94AFD4D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7455-4077-B7CD-E36FB94AFD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7455-4077-B7CD-E36FB94AFD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7455-4077-B7CD-E36FB94AFD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7455-4077-B7CD-E36FB94AFD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7455-4077-B7CD-E36FB94AFD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7455-4077-B7CD-E36FB94AFD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7455-4077-B7CD-E36FB94AFD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7455-4077-B7CD-E36FB94AFD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MP_Set.20!$A$57:$A$68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MP_Set.20!$C$57:$C$64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455-4077-B7CD-E36FB94AFD4D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7455-4077-B7CD-E36FB94AFD4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7455-4077-B7CD-E36FB94AFD4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7455-4077-B7CD-E36FB94AFD4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7455-4077-B7CD-E36FB94AFD4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7455-4077-B7CD-E36FB94AFD4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7455-4077-B7CD-E36FB94AFD4D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7455-4077-B7CD-E36FB94AFD4D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7455-4077-B7CD-E36FB94AFD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MP_Set.20!$A$57:$A$68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MP_Set.20!$D$57:$D$64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455-4077-B7CD-E36FB94AFD4D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MP_Set.20!$G$48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MP_Set.20!$H$47:$M$47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MP_Set.20!$H$48:$M$48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2-4783-8F6A-6086CCBC61C6}"/>
            </c:ext>
          </c:extLst>
        </c:ser>
        <c:ser>
          <c:idx val="1"/>
          <c:order val="1"/>
          <c:tx>
            <c:strRef>
              <c:f>MP_Set.20!$G$49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MP_Set.20!$H$47:$M$47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MP_Set.20!$H$49:$M$49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2-4783-8F6A-6086CCBC61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108-4F98-9E78-B4C46172E8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108-4F98-9E78-B4C46172E8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108-4F98-9E78-B4C46172E8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108-4F98-9E78-B4C46172E8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108-4F98-9E78-B4C46172E8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108-4F98-9E78-B4C46172E8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0108-4F98-9E78-B4C46172E8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0108-4F98-9E78-B4C46172E8E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0108-4F98-9E78-B4C46172E8E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0108-4F98-9E78-B4C46172E8E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0108-4F98-9E78-B4C46172E8E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0108-4F98-9E78-B4C46172E8E3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0108-4F98-9E78-B4C46172E8E3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08-4F98-9E78-B4C46172E8E3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08-4F98-9E78-B4C46172E8E3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08-4F98-9E78-B4C46172E8E3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08-4F98-9E78-B4C46172E8E3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108-4F98-9E78-B4C46172E8E3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108-4F98-9E78-B4C46172E8E3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108-4F98-9E78-B4C46172E8E3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108-4F98-9E78-B4C46172E8E3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108-4F98-9E78-B4C46172E8E3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108-4F98-9E78-B4C46172E8E3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108-4F98-9E78-B4C46172E8E3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108-4F98-9E78-B4C46172E8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MP_Out.20!$A$57:$A$68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MP_Out.20!$B$57:$B$68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108-4F98-9E78-B4C46172E8E3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0108-4F98-9E78-B4C46172E8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0108-4F98-9E78-B4C46172E8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0108-4F98-9E78-B4C46172E8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0108-4F98-9E78-B4C46172E8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0108-4F98-9E78-B4C46172E8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0108-4F98-9E78-B4C46172E8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0108-4F98-9E78-B4C46172E8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0108-4F98-9E78-B4C46172E8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MP_Out.20!$A$57:$A$68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MP_Out.20!$C$57:$C$64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108-4F98-9E78-B4C46172E8E3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0108-4F98-9E78-B4C46172E8E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0108-4F98-9E78-B4C46172E8E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0108-4F98-9E78-B4C46172E8E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0108-4F98-9E78-B4C46172E8E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0108-4F98-9E78-B4C46172E8E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0108-4F98-9E78-B4C46172E8E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0108-4F98-9E78-B4C46172E8E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0108-4F98-9E78-B4C46172E8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MP_Out.20!$A$57:$A$68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MP_Out.20!$D$57:$D$64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108-4F98-9E78-B4C46172E8E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MP_Out.20!$G$48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MP_Out.20!$H$47:$M$47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MP_Out.20!$H$48:$M$48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A-4D84-B453-037B2C3EC09B}"/>
            </c:ext>
          </c:extLst>
        </c:ser>
        <c:ser>
          <c:idx val="1"/>
          <c:order val="1"/>
          <c:tx>
            <c:strRef>
              <c:f>MP_Out.20!$G$49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MP_Out.20!$H$47:$M$47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MP_Out.20!$H$49:$M$49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7A-4D84-B453-037B2C3EC0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74F-409F-AD20-13061E10AC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74F-409F-AD20-13061E10AC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74F-409F-AD20-13061E10AC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74F-409F-AD20-13061E10AC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74F-409F-AD20-13061E10ACB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074F-409F-AD20-13061E10ACB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074F-409F-AD20-13061E10ACB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074F-409F-AD20-13061E10ACB2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074F-409F-AD20-13061E10ACB2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074F-409F-AD20-13061E10ACB2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074F-409F-AD20-13061E10ACB2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074F-409F-AD20-13061E10ACB2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074F-409F-AD20-13061E10ACB2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4F-409F-AD20-13061E10ACB2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4F-409F-AD20-13061E10ACB2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4F-409F-AD20-13061E10ACB2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4F-409F-AD20-13061E10ACB2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4F-409F-AD20-13061E10ACB2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4F-409F-AD20-13061E10ACB2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74F-409F-AD20-13061E10ACB2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74F-409F-AD20-13061E10ACB2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74F-409F-AD20-13061E10ACB2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74F-409F-AD20-13061E10ACB2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74F-409F-AD20-13061E10ACB2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74F-409F-AD20-13061E10AC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MP_Nov.20!$A$57:$A$68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MP_Nov.20!$B$57:$B$68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74F-409F-AD20-13061E10ACB2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074F-409F-AD20-13061E10AC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074F-409F-AD20-13061E10AC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074F-409F-AD20-13061E10AC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074F-409F-AD20-13061E10AC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074F-409F-AD20-13061E10ACB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074F-409F-AD20-13061E10ACB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074F-409F-AD20-13061E10ACB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074F-409F-AD20-13061E10A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MP_Nov.20!$A$57:$A$68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MP_Nov.20!$C$57:$C$64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074F-409F-AD20-13061E10ACB2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074F-409F-AD20-13061E10AC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074F-409F-AD20-13061E10AC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074F-409F-AD20-13061E10ACB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074F-409F-AD20-13061E10ACB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074F-409F-AD20-13061E10ACB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074F-409F-AD20-13061E10ACB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074F-409F-AD20-13061E10ACB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074F-409F-AD20-13061E10AC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MP_Nov.20!$A$57:$A$68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MP_Nov.20!$D$57:$D$64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074F-409F-AD20-13061E10ACB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MP_Nov.20!$G$48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MP_Nov.20!$H$47:$M$47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MP_Nov.20!$H$48:$M$48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D-4C3D-B5BF-9CDFDFCC735A}"/>
            </c:ext>
          </c:extLst>
        </c:ser>
        <c:ser>
          <c:idx val="1"/>
          <c:order val="1"/>
          <c:tx>
            <c:strRef>
              <c:f>MP_Nov.20!$G$49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MP_Nov.20!$H$47:$M$47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MP_Nov.20!$H$49:$M$49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D-4C3D-B5BF-9CDFDFCC73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357615739029971"/>
          <c:y val="0.1414813457256735"/>
          <c:w val="0.61986962777622456"/>
          <c:h val="0.6066008718324777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4B7-4FB7-889F-F8EB5CECD0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4B7-4FB7-889F-F8EB5CECD0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4B7-4FB7-889F-F8EB5CECD07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C4B7-4FB7-889F-F8EB5CECD0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C4B7-4FB7-889F-F8EB5CECD07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C4B7-4FB7-889F-F8EB5CECD07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C4B7-4FB7-889F-F8EB5CECD07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C4B7-4FB7-889F-F8EB5CECD07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C4B7-4FB7-889F-F8EB5CECD07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C4B7-4FB7-889F-F8EB5CECD076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C4B7-4FB7-889F-F8EB5CECD076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C4B7-4FB7-889F-F8EB5CECD076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C4B7-4FB7-889F-F8EB5CECD076}"/>
              </c:ext>
            </c:extLst>
          </c:dPt>
          <c:dLbls>
            <c:dLbl>
              <c:idx val="1"/>
              <c:layout>
                <c:manualLayout>
                  <c:x val="-0.34360705578057926"/>
                  <c:y val="-0.1887708208338879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B7-4FB7-889F-F8EB5CECD076}"/>
                </c:ext>
              </c:extLst>
            </c:dLbl>
            <c:dLbl>
              <c:idx val="2"/>
              <c:layout>
                <c:manualLayout>
                  <c:x val="1.9686135754975857E-2"/>
                  <c:y val="-9.529050521392269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4B7-4FB7-889F-F8EB5CECD076}"/>
                </c:ext>
              </c:extLst>
            </c:dLbl>
            <c:dLbl>
              <c:idx val="3"/>
              <c:layout>
                <c:manualLayout>
                  <c:x val="-2.5956490864379012E-2"/>
                  <c:y val="0.1978669005450181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4B7-4FB7-889F-F8EB5CECD076}"/>
                </c:ext>
              </c:extLst>
            </c:dLbl>
            <c:dLbl>
              <c:idx val="4"/>
              <c:layout>
                <c:manualLayout>
                  <c:x val="0.32303018384772586"/>
                  <c:y val="0.106252700641709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4B7-4FB7-889F-F8EB5CECD076}"/>
                </c:ext>
              </c:extLst>
            </c:dLbl>
            <c:dLbl>
              <c:idx val="5"/>
              <c:layout>
                <c:manualLayout>
                  <c:x val="0.20562256708581458"/>
                  <c:y val="0.18064874810428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4B7-4FB7-889F-F8EB5CECD076}"/>
                </c:ext>
              </c:extLst>
            </c:dLbl>
            <c:dLbl>
              <c:idx val="6"/>
              <c:layout>
                <c:manualLayout>
                  <c:x val="8.1922663162944595E-2"/>
                  <c:y val="9.783783776980130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4B7-4FB7-889F-F8EB5CECD076}"/>
                </c:ext>
              </c:extLst>
            </c:dLbl>
            <c:dLbl>
              <c:idx val="7"/>
              <c:layout>
                <c:manualLayout>
                  <c:x val="-5.7543805586922896E-2"/>
                  <c:y val="8.57934634810307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4B7-4FB7-889F-F8EB5CECD076}"/>
                </c:ext>
              </c:extLst>
            </c:dLbl>
            <c:dLbl>
              <c:idx val="8"/>
              <c:layout>
                <c:manualLayout>
                  <c:x val="-3.1032194224350881E-2"/>
                  <c:y val="2.399938274642842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4B7-4FB7-889F-F8EB5CECD076}"/>
                </c:ext>
              </c:extLst>
            </c:dLbl>
            <c:dLbl>
              <c:idx val="9"/>
              <c:layout>
                <c:manualLayout>
                  <c:x val="-4.4112543493193414E-2"/>
                  <c:y val="0.16727269706455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4B7-4FB7-889F-F8EB5CECD076}"/>
                </c:ext>
              </c:extLst>
            </c:dLbl>
            <c:dLbl>
              <c:idx val="10"/>
              <c:layout>
                <c:manualLayout>
                  <c:x val="-6.1924871112336542E-2"/>
                  <c:y val="0.229346580957702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B7-4FB7-889F-F8EB5CECD076}"/>
                </c:ext>
              </c:extLst>
            </c:dLbl>
            <c:dLbl>
              <c:idx val="11"/>
              <c:layout>
                <c:manualLayout>
                  <c:x val="-0.18457170343464685"/>
                  <c:y val="-3.19690702849355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4B7-4FB7-889F-F8EB5CECD076}"/>
                </c:ext>
              </c:extLst>
            </c:dLbl>
            <c:dLbl>
              <c:idx val="12"/>
              <c:layout>
                <c:manualLayout>
                  <c:x val="0.38710439601249502"/>
                  <c:y val="8.053374276867920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4B7-4FB7-889F-F8EB5CECD0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MP_Dez.20!$A$57:$A$68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MP_Dez.20!$B$57:$B$68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4B7-4FB7-889F-F8EB5CECD076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C-C4B7-4FB7-889F-F8EB5CECD0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E-C4B7-4FB7-889F-F8EB5CECD0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0-C4B7-4FB7-889F-F8EB5CECD07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2-C4B7-4FB7-889F-F8EB5CECD0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4-C4B7-4FB7-889F-F8EB5CECD07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6-C4B7-4FB7-889F-F8EB5CECD07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8-C4B7-4FB7-889F-F8EB5CECD07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A-C4B7-4FB7-889F-F8EB5CECD0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MP_Dez.20!$A$57:$A$68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MP_Dez.20!$C$57:$C$64</c:f>
              <c:numCache>
                <c:formatCode>[$-F400]h:mm:ss\ AM/PM</c:formatCode>
                <c:ptCount val="8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C4B7-4FB7-889F-F8EB5CECD076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D-C4B7-4FB7-889F-F8EB5CECD07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F-C4B7-4FB7-889F-F8EB5CECD07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1-C4B7-4FB7-889F-F8EB5CECD07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3-C4B7-4FB7-889F-F8EB5CECD07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5-C4B7-4FB7-889F-F8EB5CECD07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7-C4B7-4FB7-889F-F8EB5CECD07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9-C4B7-4FB7-889F-F8EB5CECD07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3B-C4B7-4FB7-889F-F8EB5CECD0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MP_Dez.20!$A$57:$A$68</c:f>
              <c:strCache>
                <c:ptCount val="12"/>
                <c:pt idx="0">
                  <c:v>Estatística do dia</c:v>
                </c:pt>
                <c:pt idx="1">
                  <c:v>Em uso (1º turno)</c:v>
                </c:pt>
                <c:pt idx="2">
                  <c:v>Em uso (2º turno)</c:v>
                </c:pt>
                <c:pt idx="3">
                  <c:v>Qualificação</c:v>
                </c:pt>
                <c:pt idx="4">
                  <c:v>Empréstimo - Desenho analítico / IVIV</c:v>
                </c:pt>
                <c:pt idx="5">
                  <c:v>Empréstimo - Diss</c:v>
                </c:pt>
                <c:pt idx="6">
                  <c:v>Empréstimo - PD</c:v>
                </c:pt>
                <c:pt idx="7">
                  <c:v>Empréstimo - Não medicamento</c:v>
                </c:pt>
                <c:pt idx="8">
                  <c:v>Empréstimo - Suporte analítico</c:v>
                </c:pt>
                <c:pt idx="9">
                  <c:v>Empréstimo - Troubleshooting</c:v>
                </c:pt>
                <c:pt idx="10">
                  <c:v>Manutenção</c:v>
                </c:pt>
                <c:pt idx="11">
                  <c:v>Livre</c:v>
                </c:pt>
              </c:strCache>
            </c:strRef>
          </c:cat>
          <c:val>
            <c:numRef>
              <c:f>MP_Dez.20!$D$57:$D$64</c:f>
              <c:numCache>
                <c:formatCode>General</c:formatCode>
                <c:ptCount val="8"/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C4B7-4FB7-889F-F8EB5CECD076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Mensal - Uso HPLC (dias)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7347572477721788E-2"/>
          <c:y val="0.11557517414836581"/>
          <c:w val="0.9455127469779504"/>
          <c:h val="0.7291643519129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MP_Dez.20!$G$48</c:f>
              <c:strCache>
                <c:ptCount val="1"/>
                <c:pt idx="0">
                  <c:v>Dias em uso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MP_Dez.20!$H$47:$M$47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MP_Dez.20!$H$48:$M$48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4-4CA0-A21C-3A7BE836D5B9}"/>
            </c:ext>
          </c:extLst>
        </c:ser>
        <c:ser>
          <c:idx val="1"/>
          <c:order val="1"/>
          <c:tx>
            <c:strRef>
              <c:f>MP_Dez.20!$G$49</c:f>
              <c:strCache>
                <c:ptCount val="1"/>
                <c:pt idx="0">
                  <c:v>Dias livre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MP_Dez.20!$H$47:$M$47</c:f>
              <c:strCache>
                <c:ptCount val="6"/>
                <c:pt idx="0">
                  <c:v>HPLC.0034</c:v>
                </c:pt>
                <c:pt idx="1">
                  <c:v>HPLC.0035</c:v>
                </c:pt>
                <c:pt idx="2">
                  <c:v>HPLC.0036</c:v>
                </c:pt>
                <c:pt idx="3">
                  <c:v>HPLC.0037</c:v>
                </c:pt>
                <c:pt idx="4">
                  <c:v>HPLC.0045</c:v>
                </c:pt>
                <c:pt idx="5">
                  <c:v>HPLC.0050</c:v>
                </c:pt>
              </c:strCache>
            </c:strRef>
          </c:cat>
          <c:val>
            <c:numRef>
              <c:f>MP_Dez.20!$H$49:$M$49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4-4CA0-A21C-3A7BE836D5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75277936"/>
        <c:axId val="1775279184"/>
      </c:barChart>
      <c:catAx>
        <c:axId val="177527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9184"/>
        <c:crosses val="autoZero"/>
        <c:auto val="1"/>
        <c:lblAlgn val="ctr"/>
        <c:lblOffset val="100"/>
        <c:noMultiLvlLbl val="0"/>
      </c:catAx>
      <c:valAx>
        <c:axId val="177527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7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</xdr:colOff>
      <xdr:row>1</xdr:row>
      <xdr:rowOff>9523</xdr:rowOff>
    </xdr:from>
    <xdr:to>
      <xdr:col>12</xdr:col>
      <xdr:colOff>345280</xdr:colOff>
      <xdr:row>32</xdr:row>
      <xdr:rowOff>85723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95249</xdr:rowOff>
    </xdr:from>
    <xdr:to>
      <xdr:col>12</xdr:col>
      <xdr:colOff>416717</xdr:colOff>
      <xdr:row>46</xdr:row>
      <xdr:rowOff>171449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369093</xdr:colOff>
      <xdr:row>1</xdr:row>
      <xdr:rowOff>11906</xdr:rowOff>
    </xdr:from>
    <xdr:to>
      <xdr:col>16</xdr:col>
      <xdr:colOff>642254</xdr:colOff>
      <xdr:row>32</xdr:row>
      <xdr:rowOff>71436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392907</xdr:colOff>
      <xdr:row>32</xdr:row>
      <xdr:rowOff>95249</xdr:rowOff>
    </xdr:from>
    <xdr:to>
      <xdr:col>17</xdr:col>
      <xdr:colOff>21113</xdr:colOff>
      <xdr:row>46</xdr:row>
      <xdr:rowOff>171449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654844</xdr:colOff>
      <xdr:row>1</xdr:row>
      <xdr:rowOff>11906</xdr:rowOff>
    </xdr:from>
    <xdr:to>
      <xdr:col>23</xdr:col>
      <xdr:colOff>23812</xdr:colOff>
      <xdr:row>32</xdr:row>
      <xdr:rowOff>88106</xdr:rowOff>
    </xdr:to>
    <xdr:graphicFrame macro="">
      <xdr:nvGraphicFramePr>
        <xdr:cNvPr id="16" name="Gráfico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654843</xdr:colOff>
      <xdr:row>32</xdr:row>
      <xdr:rowOff>119063</xdr:rowOff>
    </xdr:from>
    <xdr:to>
      <xdr:col>23</xdr:col>
      <xdr:colOff>48987</xdr:colOff>
      <xdr:row>47</xdr:row>
      <xdr:rowOff>4763</xdr:rowOff>
    </xdr:to>
    <xdr:graphicFrame macro="">
      <xdr:nvGraphicFramePr>
        <xdr:cNvPr id="18" name="Gráfico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44222</xdr:rowOff>
    </xdr:from>
    <xdr:to>
      <xdr:col>4</xdr:col>
      <xdr:colOff>734786</xdr:colOff>
      <xdr:row>53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25513</xdr:colOff>
      <xdr:row>12</xdr:row>
      <xdr:rowOff>32316</xdr:rowOff>
    </xdr:from>
    <xdr:to>
      <xdr:col>4</xdr:col>
      <xdr:colOff>760299</xdr:colOff>
      <xdr:row>53</xdr:row>
      <xdr:rowOff>130968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12</xdr:row>
      <xdr:rowOff>8503</xdr:rowOff>
    </xdr:from>
    <xdr:to>
      <xdr:col>5</xdr:col>
      <xdr:colOff>69737</xdr:colOff>
      <xdr:row>53</xdr:row>
      <xdr:rowOff>107155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85045</xdr:colOff>
      <xdr:row>12</xdr:row>
      <xdr:rowOff>32316</xdr:rowOff>
    </xdr:from>
    <xdr:to>
      <xdr:col>5</xdr:col>
      <xdr:colOff>45925</xdr:colOff>
      <xdr:row>53</xdr:row>
      <xdr:rowOff>130968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1701</xdr:colOff>
      <xdr:row>12</xdr:row>
      <xdr:rowOff>23812</xdr:rowOff>
    </xdr:from>
    <xdr:to>
      <xdr:col>4</xdr:col>
      <xdr:colOff>736487</xdr:colOff>
      <xdr:row>50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1701</xdr:colOff>
      <xdr:row>12</xdr:row>
      <xdr:rowOff>23812</xdr:rowOff>
    </xdr:from>
    <xdr:to>
      <xdr:col>4</xdr:col>
      <xdr:colOff>736487</xdr:colOff>
      <xdr:row>50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32316</xdr:rowOff>
    </xdr:from>
    <xdr:to>
      <xdr:col>4</xdr:col>
      <xdr:colOff>734786</xdr:colOff>
      <xdr:row>53</xdr:row>
      <xdr:rowOff>130968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8503</xdr:rowOff>
    </xdr:from>
    <xdr:to>
      <xdr:col>4</xdr:col>
      <xdr:colOff>734786</xdr:colOff>
      <xdr:row>53</xdr:row>
      <xdr:rowOff>107155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1701</xdr:colOff>
      <xdr:row>11</xdr:row>
      <xdr:rowOff>306159</xdr:rowOff>
    </xdr:from>
    <xdr:to>
      <xdr:col>4</xdr:col>
      <xdr:colOff>736487</xdr:colOff>
      <xdr:row>50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1701</xdr:colOff>
      <xdr:row>12</xdr:row>
      <xdr:rowOff>8503</xdr:rowOff>
    </xdr:from>
    <xdr:to>
      <xdr:col>4</xdr:col>
      <xdr:colOff>736487</xdr:colOff>
      <xdr:row>53</xdr:row>
      <xdr:rowOff>107155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49326</xdr:colOff>
      <xdr:row>12</xdr:row>
      <xdr:rowOff>8503</xdr:rowOff>
    </xdr:from>
    <xdr:to>
      <xdr:col>5</xdr:col>
      <xdr:colOff>10206</xdr:colOff>
      <xdr:row>53</xdr:row>
      <xdr:rowOff>107155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12</xdr:row>
      <xdr:rowOff>44222</xdr:rowOff>
    </xdr:from>
    <xdr:to>
      <xdr:col>5</xdr:col>
      <xdr:colOff>8505</xdr:colOff>
      <xdr:row>53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27214</xdr:colOff>
      <xdr:row>12</xdr:row>
      <xdr:rowOff>13609</xdr:rowOff>
    </xdr:from>
    <xdr:to>
      <xdr:col>13</xdr:col>
      <xdr:colOff>27213</xdr:colOff>
      <xdr:row>33</xdr:row>
      <xdr:rowOff>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drawing" Target="../drawings/drawing1.xml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3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CG34"/>
  <sheetViews>
    <sheetView topLeftCell="B1" zoomScale="70" zoomScaleNormal="70" workbookViewId="0">
      <selection activeCell="R52" sqref="R52"/>
    </sheetView>
  </sheetViews>
  <sheetFormatPr defaultColWidth="9.140625" defaultRowHeight="15" x14ac:dyDescent="0.25"/>
  <cols>
    <col min="1" max="1" width="3.42578125" hidden="1" customWidth="1"/>
    <col min="2" max="3" width="11.28515625" customWidth="1"/>
    <col min="4" max="4" width="11.28515625" hidden="1" customWidth="1"/>
    <col min="5" max="5" width="11.28515625" customWidth="1"/>
    <col min="6" max="6" width="11.28515625" hidden="1" customWidth="1"/>
    <col min="7" max="7" width="11.28515625" customWidth="1"/>
    <col min="8" max="8" width="11.28515625" hidden="1" customWidth="1"/>
    <col min="9" max="9" width="11.28515625" customWidth="1"/>
    <col min="10" max="10" width="11.28515625" hidden="1" customWidth="1"/>
    <col min="11" max="11" width="11.28515625" customWidth="1"/>
    <col min="12" max="12" width="11.28515625" hidden="1" customWidth="1"/>
    <col min="13" max="13" width="11.28515625" customWidth="1"/>
    <col min="14" max="15" width="10.5703125" bestFit="1" customWidth="1"/>
    <col min="16" max="16" width="35.85546875" bestFit="1" customWidth="1"/>
    <col min="17" max="22" width="10.5703125" bestFit="1" customWidth="1"/>
    <col min="23" max="23" width="18.7109375" customWidth="1"/>
    <col min="24" max="29" width="10.5703125" bestFit="1" customWidth="1"/>
    <col min="30" max="30" width="35.85546875" bestFit="1" customWidth="1"/>
    <col min="31" max="36" width="10.5703125" bestFit="1" customWidth="1"/>
    <col min="37" max="37" width="35.85546875" bestFit="1" customWidth="1"/>
    <col min="38" max="43" width="10.5703125" bestFit="1" customWidth="1"/>
    <col min="44" max="44" width="35.85546875" bestFit="1" customWidth="1"/>
    <col min="45" max="50" width="10.5703125" bestFit="1" customWidth="1"/>
    <col min="51" max="51" width="35.85546875" bestFit="1" customWidth="1"/>
    <col min="52" max="57" width="10.5703125" bestFit="1" customWidth="1"/>
    <col min="58" max="58" width="35.85546875" bestFit="1" customWidth="1"/>
    <col min="59" max="64" width="10.5703125" bestFit="1" customWidth="1"/>
    <col min="65" max="65" width="35.85546875" bestFit="1" customWidth="1"/>
    <col min="66" max="71" width="10.5703125" bestFit="1" customWidth="1"/>
    <col min="72" max="72" width="35.85546875" bestFit="1" customWidth="1"/>
    <col min="73" max="78" width="10.5703125" bestFit="1" customWidth="1"/>
    <col min="79" max="79" width="35.85546875" bestFit="1" customWidth="1"/>
    <col min="80" max="85" width="10.5703125" bestFit="1" customWidth="1"/>
    <col min="86" max="99" width="16.5703125" customWidth="1"/>
  </cols>
  <sheetData>
    <row r="1" spans="2:85" ht="23.25" x14ac:dyDescent="0.25">
      <c r="B1" s="56" t="s">
        <v>81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</row>
    <row r="4" spans="2:85" hidden="1" x14ac:dyDescent="0.25">
      <c r="B4" s="48" t="s">
        <v>60</v>
      </c>
      <c r="I4" s="49" t="s">
        <v>76</v>
      </c>
      <c r="P4" s="49" t="s">
        <v>61</v>
      </c>
      <c r="W4" s="49" t="s">
        <v>63</v>
      </c>
      <c r="AD4" s="49" t="s">
        <v>62</v>
      </c>
      <c r="AK4" s="49" t="s">
        <v>64</v>
      </c>
      <c r="AR4" s="49" t="s">
        <v>65</v>
      </c>
      <c r="AY4" s="49" t="s">
        <v>66</v>
      </c>
      <c r="BF4" s="49" t="s">
        <v>67</v>
      </c>
      <c r="BM4" s="49" t="s">
        <v>68</v>
      </c>
      <c r="BT4" s="49" t="s">
        <v>69</v>
      </c>
      <c r="CA4" s="49" t="s">
        <v>70</v>
      </c>
    </row>
    <row r="5" spans="2:85" hidden="1" x14ac:dyDescent="0.25">
      <c r="B5" s="1" t="s">
        <v>59</v>
      </c>
      <c r="C5" s="17"/>
      <c r="D5" s="6"/>
      <c r="E5" s="6"/>
      <c r="F5" s="6"/>
      <c r="G5" s="6"/>
      <c r="H5" s="6"/>
      <c r="I5" s="16" t="s">
        <v>59</v>
      </c>
      <c r="J5" s="17"/>
      <c r="K5" s="6"/>
      <c r="L5" s="6"/>
      <c r="M5" s="6"/>
      <c r="N5" s="6"/>
      <c r="O5" s="6"/>
      <c r="P5" s="16" t="s">
        <v>59</v>
      </c>
      <c r="Q5" s="17"/>
      <c r="R5" s="6"/>
      <c r="S5" s="6"/>
      <c r="T5" s="6"/>
      <c r="U5" s="6"/>
      <c r="V5" s="6"/>
      <c r="W5" s="16" t="s">
        <v>59</v>
      </c>
      <c r="X5" s="17"/>
      <c r="Y5" s="6"/>
      <c r="Z5" s="6"/>
      <c r="AA5" s="6"/>
      <c r="AB5" s="6"/>
      <c r="AC5" s="6"/>
      <c r="AD5" s="16" t="s">
        <v>59</v>
      </c>
      <c r="AE5" s="17"/>
      <c r="AF5" s="6"/>
      <c r="AG5" s="6"/>
      <c r="AH5" s="6"/>
      <c r="AI5" s="6"/>
      <c r="AJ5" s="6"/>
      <c r="AK5" s="16" t="s">
        <v>59</v>
      </c>
      <c r="AL5" s="17"/>
      <c r="AM5" s="6"/>
      <c r="AN5" s="6"/>
      <c r="AO5" s="6"/>
      <c r="AP5" s="6"/>
      <c r="AQ5" s="6"/>
      <c r="AR5" s="16" t="s">
        <v>59</v>
      </c>
      <c r="AS5" s="17"/>
      <c r="AT5" s="6"/>
      <c r="AU5" s="6"/>
      <c r="AV5" s="6"/>
      <c r="AW5" s="6"/>
      <c r="AX5" s="6"/>
      <c r="AY5" s="16" t="s">
        <v>59</v>
      </c>
      <c r="AZ5" s="17"/>
      <c r="BA5" s="6"/>
      <c r="BB5" s="6"/>
      <c r="BC5" s="6"/>
      <c r="BD5" s="6"/>
      <c r="BE5" s="6"/>
      <c r="BF5" s="16" t="s">
        <v>59</v>
      </c>
      <c r="BG5" s="17"/>
      <c r="BH5" s="6"/>
      <c r="BI5" s="6"/>
      <c r="BJ5" s="6"/>
      <c r="BK5" s="6"/>
      <c r="BL5" s="6"/>
      <c r="BM5" s="16" t="s">
        <v>59</v>
      </c>
      <c r="BN5" s="17"/>
      <c r="BO5" s="6"/>
      <c r="BP5" s="6"/>
      <c r="BQ5" s="6"/>
      <c r="BR5" s="6"/>
      <c r="BS5" s="6"/>
      <c r="BT5" s="16" t="s">
        <v>59</v>
      </c>
      <c r="BU5" s="17"/>
      <c r="BV5" s="6"/>
      <c r="BW5" s="6"/>
      <c r="BX5" s="6"/>
      <c r="BY5" s="6"/>
      <c r="BZ5" s="6"/>
      <c r="CA5" s="16" t="s">
        <v>59</v>
      </c>
      <c r="CB5" s="17"/>
      <c r="CC5" s="6"/>
      <c r="CD5" s="6"/>
      <c r="CE5" s="6"/>
      <c r="CF5" s="6"/>
      <c r="CG5" s="6"/>
    </row>
    <row r="6" spans="2:85" hidden="1" x14ac:dyDescent="0.25">
      <c r="B6" s="11"/>
      <c r="C6" s="19" t="s">
        <v>45</v>
      </c>
      <c r="D6" s="19" t="s">
        <v>46</v>
      </c>
      <c r="E6" s="19" t="s">
        <v>47</v>
      </c>
      <c r="F6" s="19" t="s">
        <v>48</v>
      </c>
      <c r="G6" s="19" t="s">
        <v>49</v>
      </c>
      <c r="H6" s="19" t="s">
        <v>50</v>
      </c>
      <c r="I6" s="50"/>
      <c r="J6" s="19" t="s">
        <v>45</v>
      </c>
      <c r="K6" s="19" t="s">
        <v>46</v>
      </c>
      <c r="L6" s="19" t="s">
        <v>47</v>
      </c>
      <c r="M6" s="19" t="s">
        <v>48</v>
      </c>
      <c r="N6" s="19" t="s">
        <v>49</v>
      </c>
      <c r="O6" s="19" t="s">
        <v>50</v>
      </c>
      <c r="P6" s="50"/>
      <c r="Q6" s="19" t="s">
        <v>45</v>
      </c>
      <c r="R6" s="19" t="s">
        <v>46</v>
      </c>
      <c r="S6" s="19" t="s">
        <v>47</v>
      </c>
      <c r="T6" s="19" t="s">
        <v>48</v>
      </c>
      <c r="U6" s="19" t="s">
        <v>49</v>
      </c>
      <c r="V6" s="19" t="s">
        <v>50</v>
      </c>
      <c r="W6" s="50"/>
      <c r="X6" s="19" t="s">
        <v>45</v>
      </c>
      <c r="Y6" s="19" t="s">
        <v>46</v>
      </c>
      <c r="Z6" s="19" t="s">
        <v>47</v>
      </c>
      <c r="AA6" s="19" t="s">
        <v>48</v>
      </c>
      <c r="AB6" s="19" t="s">
        <v>49</v>
      </c>
      <c r="AC6" s="19" t="s">
        <v>50</v>
      </c>
      <c r="AD6" s="50"/>
      <c r="AE6" s="19" t="s">
        <v>45</v>
      </c>
      <c r="AF6" s="19" t="s">
        <v>46</v>
      </c>
      <c r="AG6" s="19" t="s">
        <v>47</v>
      </c>
      <c r="AH6" s="19" t="s">
        <v>48</v>
      </c>
      <c r="AI6" s="19" t="s">
        <v>49</v>
      </c>
      <c r="AJ6" s="19" t="s">
        <v>50</v>
      </c>
      <c r="AK6" s="50"/>
      <c r="AL6" s="19" t="s">
        <v>45</v>
      </c>
      <c r="AM6" s="19" t="s">
        <v>46</v>
      </c>
      <c r="AN6" s="19" t="s">
        <v>47</v>
      </c>
      <c r="AO6" s="19" t="s">
        <v>48</v>
      </c>
      <c r="AP6" s="19" t="s">
        <v>49</v>
      </c>
      <c r="AQ6" s="19" t="s">
        <v>50</v>
      </c>
      <c r="AR6" s="50"/>
      <c r="AS6" s="19" t="s">
        <v>45</v>
      </c>
      <c r="AT6" s="19" t="s">
        <v>46</v>
      </c>
      <c r="AU6" s="19" t="s">
        <v>47</v>
      </c>
      <c r="AV6" s="19" t="s">
        <v>48</v>
      </c>
      <c r="AW6" s="19" t="s">
        <v>49</v>
      </c>
      <c r="AX6" s="19" t="s">
        <v>50</v>
      </c>
      <c r="AY6" s="50"/>
      <c r="AZ6" s="19" t="s">
        <v>45</v>
      </c>
      <c r="BA6" s="19" t="s">
        <v>46</v>
      </c>
      <c r="BB6" s="19" t="s">
        <v>47</v>
      </c>
      <c r="BC6" s="19" t="s">
        <v>48</v>
      </c>
      <c r="BD6" s="19" t="s">
        <v>49</v>
      </c>
      <c r="BE6" s="19" t="s">
        <v>50</v>
      </c>
      <c r="BF6" s="50"/>
      <c r="BG6" s="19" t="s">
        <v>45</v>
      </c>
      <c r="BH6" s="19" t="s">
        <v>46</v>
      </c>
      <c r="BI6" s="19" t="s">
        <v>47</v>
      </c>
      <c r="BJ6" s="19" t="s">
        <v>48</v>
      </c>
      <c r="BK6" s="19" t="s">
        <v>49</v>
      </c>
      <c r="BL6" s="19" t="s">
        <v>50</v>
      </c>
      <c r="BM6" s="50"/>
      <c r="BN6" s="19" t="s">
        <v>45</v>
      </c>
      <c r="BO6" s="19" t="s">
        <v>46</v>
      </c>
      <c r="BP6" s="19" t="s">
        <v>47</v>
      </c>
      <c r="BQ6" s="19" t="s">
        <v>48</v>
      </c>
      <c r="BR6" s="19" t="s">
        <v>49</v>
      </c>
      <c r="BS6" s="19" t="s">
        <v>50</v>
      </c>
      <c r="BT6" s="50"/>
      <c r="BU6" s="19" t="s">
        <v>45</v>
      </c>
      <c r="BV6" s="19" t="s">
        <v>46</v>
      </c>
      <c r="BW6" s="19" t="s">
        <v>47</v>
      </c>
      <c r="BX6" s="19" t="s">
        <v>48</v>
      </c>
      <c r="BY6" s="19" t="s">
        <v>49</v>
      </c>
      <c r="BZ6" s="19" t="s">
        <v>50</v>
      </c>
      <c r="CA6" s="50"/>
      <c r="CB6" s="19" t="s">
        <v>45</v>
      </c>
      <c r="CC6" s="19" t="s">
        <v>46</v>
      </c>
      <c r="CD6" s="19" t="s">
        <v>47</v>
      </c>
      <c r="CE6" s="19" t="s">
        <v>48</v>
      </c>
      <c r="CF6" s="19" t="s">
        <v>49</v>
      </c>
      <c r="CG6" s="19" t="s">
        <v>50</v>
      </c>
    </row>
    <row r="7" spans="2:85" hidden="1" x14ac:dyDescent="0.25">
      <c r="B7" s="1" t="s">
        <v>21</v>
      </c>
      <c r="C7" s="18">
        <f>COUNTIF(MP_Jan.20!$F$7:$CT$7,MP_Jan.20!$G36)</f>
        <v>3</v>
      </c>
      <c r="D7" s="18">
        <f>COUNTIF(MP_Jan.20!$F$8:$CT$8,MP_Jan.20!$G36)</f>
        <v>8</v>
      </c>
      <c r="E7" s="18">
        <f>COUNTIF(MP_Jan.20!$F$9:$CT$9,MP_Jan.20!$G36)</f>
        <v>5</v>
      </c>
      <c r="F7" s="18">
        <f>COUNTIF(MP_Jan.20!$F$10:$CT$10,MP_Jan.20!$G36)</f>
        <v>7</v>
      </c>
      <c r="G7" s="18">
        <f>COUNTIF(MP_Jan.20!$F$11:$CT$11,MP_Jan.20!$G36)</f>
        <v>0</v>
      </c>
      <c r="H7" s="18">
        <f>COUNTIF(MP_Jan.20!$F$12:$CT$12,MP_Jan.20!$G36)</f>
        <v>0</v>
      </c>
      <c r="I7" s="16" t="s">
        <v>21</v>
      </c>
      <c r="J7" s="18">
        <f>COUNTIF(MP_Fev.20!$F$7:$CN$7,MP_Fev.20!$G36)</f>
        <v>0</v>
      </c>
      <c r="K7" s="18">
        <f>COUNTIF(MP_Fev.20!$F$8:$CN$8,MP_Fev.20!$G36)</f>
        <v>0</v>
      </c>
      <c r="L7" s="18">
        <f>COUNTIF(MP_Fev.20!$F$9:$CN$9,MP_Fev.20!$G36)</f>
        <v>0</v>
      </c>
      <c r="M7" s="18">
        <f>COUNTIF(MP_Fev.20!$F$10:$CN$10,MP_Fev.20!$G36)</f>
        <v>0</v>
      </c>
      <c r="N7" s="18">
        <f>COUNTIF(MP_Fev.20!$F$11:$CN$11,MP_Fev.20!$G36)</f>
        <v>0</v>
      </c>
      <c r="O7" s="18">
        <f>COUNTIF(MP_Fev.20!$F$12:$CN$12,MP_Fev.20!$G36)</f>
        <v>0</v>
      </c>
      <c r="P7" s="16" t="s">
        <v>21</v>
      </c>
      <c r="Q7" s="18">
        <f>COUNTIF(MP_Mar.20!$F$7:$CT$7,MP_Mar.20!$G36)</f>
        <v>0</v>
      </c>
      <c r="R7" s="18">
        <f>COUNTIF(MP_Mar.20!$F$8:$CT$8,MP_Mar.20!$G36)</f>
        <v>0</v>
      </c>
      <c r="S7" s="18">
        <f>COUNTIF(MP_Mar.20!$F$9:$CT$9,MP_Mar.20!$G36)</f>
        <v>0</v>
      </c>
      <c r="T7" s="18">
        <f>COUNTIF(MP_Mar.20!$F$10:$CT$10,MP_Mar.20!$G36)</f>
        <v>0</v>
      </c>
      <c r="U7" s="18">
        <f>COUNTIF(MP_Mar.20!$F$11:$CT$11,MP_Mar.20!$G36)</f>
        <v>0</v>
      </c>
      <c r="V7" s="18">
        <f>COUNTIF(MP_Mar.20!$F$12:$CT$12,MP_Mar.20!$G36)</f>
        <v>0</v>
      </c>
      <c r="W7" s="16" t="s">
        <v>21</v>
      </c>
      <c r="X7" s="18">
        <f>COUNTIF(MP_Abr.20!$F$7:$CQ$7,MP_Abr.20!$G36)</f>
        <v>0</v>
      </c>
      <c r="Y7" s="18">
        <f>COUNTIF(MP_Abr.20!$F$8:$CQ$8,MP_Abr.20!$G36)</f>
        <v>0</v>
      </c>
      <c r="Z7" s="18">
        <f>COUNTIF(MP_Abr.20!$F$9:$CQ$9,MP_Abr.20!$G36)</f>
        <v>0</v>
      </c>
      <c r="AA7" s="18">
        <f>COUNTIF(MP_Abr.20!$F$10:$CQ$10,MP_Abr.20!$G36)</f>
        <v>0</v>
      </c>
      <c r="AB7" s="18">
        <f>COUNTIF(MP_Abr.20!$F$11:$CQ$11,MP_Abr.20!$G36)</f>
        <v>0</v>
      </c>
      <c r="AC7" s="18">
        <f>COUNTIF(MP_Abr.20!$F$12:$CQ$12,MP_Abr.20!$G36)</f>
        <v>0</v>
      </c>
      <c r="AD7" s="16" t="s">
        <v>21</v>
      </c>
      <c r="AE7" s="18">
        <f>COUNTIF(MP_Mai.20!$F$7:$CT$7,MP_Mai.20!$G36)</f>
        <v>0</v>
      </c>
      <c r="AF7" s="18">
        <f>COUNTIF(MP_Mai.20!$F$8:$CT$8,MP_Mai.20!$G36)</f>
        <v>0</v>
      </c>
      <c r="AG7" s="18">
        <f>COUNTIF(MP_Mai.20!$F$9:$CT$9,MP_Mai.20!$G36)</f>
        <v>0</v>
      </c>
      <c r="AH7" s="18">
        <f>COUNTIF(MP_Mai.20!$F$10:$CT$10,MP_Mai.20!$G36)</f>
        <v>0</v>
      </c>
      <c r="AI7" s="18">
        <f>COUNTIF(MP_Mai.20!$F$11:$CT$11,MP_Mai.20!$G36)</f>
        <v>0</v>
      </c>
      <c r="AJ7" s="18">
        <f>COUNTIF(MP_Mai.20!$F$12:$CT$12,MP_Mai.20!$G36)</f>
        <v>0</v>
      </c>
      <c r="AK7" s="16" t="s">
        <v>21</v>
      </c>
      <c r="AL7" s="18">
        <f>COUNTIF(MP_Jun.20!$F$7:$CQ$7,MP_Jun.20!$G36)</f>
        <v>0</v>
      </c>
      <c r="AM7" s="18">
        <f>COUNTIF(MP_Jun.20!$F$8:$CQ$8,MP_Jun.20!$G36)</f>
        <v>0</v>
      </c>
      <c r="AN7" s="18">
        <f>COUNTIF(MP_Jun.20!$F$9:$CQ$9,MP_Jun.20!$G36)</f>
        <v>0</v>
      </c>
      <c r="AO7" s="18">
        <f>COUNTIF(MP_Jun.20!$F$10:$CQ$10,MP_Jun.20!$G36)</f>
        <v>0</v>
      </c>
      <c r="AP7" s="18">
        <f>COUNTIF(MP_Jun.20!$F$11:$CQ$11,MP_Jun.20!$G36)</f>
        <v>0</v>
      </c>
      <c r="AQ7" s="18">
        <f>COUNTIF(MP_Jun.20!$F$12:$CQ$12,MP_Jun.20!$G36)</f>
        <v>0</v>
      </c>
      <c r="AR7" s="16" t="s">
        <v>21</v>
      </c>
      <c r="AS7" s="18">
        <f>COUNTIF(MP_Jul.20!$F$7:$CT$7,MP_Jul.20!$G36)</f>
        <v>0</v>
      </c>
      <c r="AT7" s="18">
        <f>COUNTIF(MP_Jul.20!$F$8:$CT$8,MP_Jul.20!$G36)</f>
        <v>0</v>
      </c>
      <c r="AU7" s="18">
        <f>COUNTIF(MP_Jul.20!$F$9:$CT$9,MP_Jul.20!$G36)</f>
        <v>0</v>
      </c>
      <c r="AV7" s="18">
        <f>COUNTIF(MP_Jul.20!$F$10:$CT$10,MP_Jul.20!$G36)</f>
        <v>0</v>
      </c>
      <c r="AW7" s="18">
        <f>COUNTIF(MP_Jul.20!$F$11:$CT$11,MP_Jul.20!$G36)</f>
        <v>0</v>
      </c>
      <c r="AX7" s="18">
        <f>COUNTIF(MP_Jul.20!$F$12:$CT$12,MP_Jul.20!$G36)</f>
        <v>0</v>
      </c>
      <c r="AY7" s="16" t="s">
        <v>21</v>
      </c>
      <c r="AZ7" s="18">
        <f>COUNTIF(MP_Ago.20!$F$7:$CT$7,MP_Ago.20!$G36)</f>
        <v>0</v>
      </c>
      <c r="BA7" s="18">
        <f>COUNTIF(MP_Ago.20!$F$8:$CT$8,MP_Ago.20!$G36)</f>
        <v>0</v>
      </c>
      <c r="BB7" s="18">
        <f>COUNTIF(MP_Ago.20!$F$9:$CT$9,MP_Ago.20!$G36)</f>
        <v>0</v>
      </c>
      <c r="BC7" s="18">
        <f>COUNTIF(MP_Ago.20!$F$10:$CT$10,MP_Ago.20!$G36)</f>
        <v>0</v>
      </c>
      <c r="BD7" s="18">
        <f>COUNTIF(MP_Ago.20!$F$11:$CT$11,MP_Ago.20!$G36)</f>
        <v>0</v>
      </c>
      <c r="BE7" s="18">
        <f>COUNTIF(MP_Ago.20!$F$12:$CT$12,MP_Ago.20!$G36)</f>
        <v>0</v>
      </c>
      <c r="BF7" s="16" t="s">
        <v>21</v>
      </c>
      <c r="BG7" s="18">
        <f>COUNTIF(MP_Set.20!$F$7:$CQ$7,MP_Set.20!$G36)</f>
        <v>0</v>
      </c>
      <c r="BH7" s="18">
        <f>COUNTIF(MP_Set.20!$F$8:$CQ$8,MP_Set.20!$G36)</f>
        <v>0</v>
      </c>
      <c r="BI7" s="18">
        <f>COUNTIF(MP_Set.20!$F$9:$CQ$9,MP_Set.20!$G36)</f>
        <v>0</v>
      </c>
      <c r="BJ7" s="18">
        <f>COUNTIF(MP_Set.20!$F$10:$CQ$10,MP_Set.20!$G36)</f>
        <v>0</v>
      </c>
      <c r="BK7" s="18">
        <f>COUNTIF(MP_Set.20!$F$11:$CQ$11,MP_Set.20!$G36)</f>
        <v>0</v>
      </c>
      <c r="BL7" s="18">
        <f>COUNTIF(MP_Set.20!$F$12:$CQ$12,MP_Set.20!$G36)</f>
        <v>0</v>
      </c>
      <c r="BM7" s="16" t="s">
        <v>21</v>
      </c>
      <c r="BN7" s="18">
        <f>COUNTIF(MP_Out.20!$F$7:$CT$7,MP_Out.20!$G36)</f>
        <v>0</v>
      </c>
      <c r="BO7" s="18">
        <f>COUNTIF(MP_Out.20!$F$8:$CT$8,MP_Out.20!$G36)</f>
        <v>0</v>
      </c>
      <c r="BP7" s="18">
        <f>COUNTIF(MP_Out.20!$F$9:$CT$9,MP_Out.20!$G36)</f>
        <v>0</v>
      </c>
      <c r="BQ7" s="18">
        <f>COUNTIF(MP_Out.20!$F$10:$CT$10,MP_Out.20!$G36)</f>
        <v>0</v>
      </c>
      <c r="BR7" s="18">
        <f>COUNTIF(MP_Out.20!$F$11:$CT$11,MP_Out.20!$G36)</f>
        <v>0</v>
      </c>
      <c r="BS7" s="18">
        <f>COUNTIF(MP_Out.20!$F$12:$CT$12,MP_Out.20!$G36)</f>
        <v>0</v>
      </c>
      <c r="BT7" s="16" t="s">
        <v>21</v>
      </c>
      <c r="BU7" s="18">
        <f>COUNTIF(MP_Nov.20!$F$7:$CQ$7,MP_Nov.20!$G36)</f>
        <v>0</v>
      </c>
      <c r="BV7" s="18">
        <f>COUNTIF(MP_Nov.20!$F$8:$CQ$8,MP_Nov.20!$G36)</f>
        <v>0</v>
      </c>
      <c r="BW7" s="18">
        <f>COUNTIF(MP_Nov.20!$F$9:$CQ$9,MP_Nov.20!$G36)</f>
        <v>0</v>
      </c>
      <c r="BX7" s="18">
        <f>COUNTIF(MP_Nov.20!$F$10:$CQ$10,MP_Nov.20!$G36)</f>
        <v>0</v>
      </c>
      <c r="BY7" s="18">
        <f>COUNTIF(MP_Nov.20!$F$11:$CQ$11,MP_Nov.20!$G36)</f>
        <v>0</v>
      </c>
      <c r="BZ7" s="18">
        <f>COUNTIF(MP_Nov.20!$F$12:$CQ$12,MP_Nov.20!$G36)</f>
        <v>0</v>
      </c>
      <c r="CA7" s="16" t="s">
        <v>21</v>
      </c>
      <c r="CB7" s="18">
        <f>COUNTIF(MP_Dez.20!$F$7:$CT$7,MP_Dez.20!$G36)</f>
        <v>0</v>
      </c>
      <c r="CC7" s="18">
        <f>COUNTIF(MP_Dez.20!$F$8:$CT$8,MP_Dez.20!$G36)</f>
        <v>0</v>
      </c>
      <c r="CD7" s="18">
        <f>COUNTIF(MP_Dez.20!$F$9:$CT$9,MP_Dez.20!$G36)</f>
        <v>0</v>
      </c>
      <c r="CE7" s="18">
        <f>COUNTIF(MP_Dez.20!$F$10:$CT$10,MP_Dez.20!$G36)</f>
        <v>0</v>
      </c>
      <c r="CF7" s="18">
        <f>COUNTIF(MP_Dez.20!$F$11:$CT$11,MP_Dez.20!$G36)</f>
        <v>0</v>
      </c>
      <c r="CG7" s="18">
        <f>COUNTIF(MP_Dez.20!$F$12:$CT$12,MP_Dez.20!$G36)</f>
        <v>0</v>
      </c>
    </row>
    <row r="8" spans="2:85" hidden="1" x14ac:dyDescent="0.25">
      <c r="B8" s="1" t="s">
        <v>12</v>
      </c>
      <c r="C8" s="18">
        <f>COUNTIF(MP_Jan.20!$F$7:$CT$7,MP_Jan.20!$G37)</f>
        <v>10</v>
      </c>
      <c r="D8" s="18">
        <f>COUNTIF(MP_Jan.20!$F$8:$CT$8,MP_Jan.20!$G37)</f>
        <v>5</v>
      </c>
      <c r="E8" s="18">
        <f>COUNTIF(MP_Jan.20!$F$9:$CT$9,MP_Jan.20!$G37)</f>
        <v>6</v>
      </c>
      <c r="F8" s="18">
        <f>COUNTIF(MP_Jan.20!$F$10:$CT$10,MP_Jan.20!$G37)</f>
        <v>0</v>
      </c>
      <c r="G8" s="18">
        <f>COUNTIF(MP_Jan.20!$F$11:$CT$11,MP_Jan.20!$G37)</f>
        <v>10</v>
      </c>
      <c r="H8" s="18">
        <f>COUNTIF(MP_Jan.20!$F$12:$CT$12,MP_Jan.20!$G37)</f>
        <v>0</v>
      </c>
      <c r="I8" s="16" t="s">
        <v>12</v>
      </c>
      <c r="J8" s="18">
        <f>COUNTIF(MP_Fev.20!$F$7:$CN$7,MP_Fev.20!$G37)</f>
        <v>0</v>
      </c>
      <c r="K8" s="18">
        <f>COUNTIF(MP_Fev.20!$F$8:$CN$8,MP_Fev.20!$G37)</f>
        <v>0</v>
      </c>
      <c r="L8" s="18">
        <f>COUNTIF(MP_Fev.20!$F$9:$CN$9,MP_Fev.20!$G37)</f>
        <v>0</v>
      </c>
      <c r="M8" s="18">
        <f>COUNTIF(MP_Fev.20!$F$10:$CN$10,MP_Fev.20!$G37)</f>
        <v>0</v>
      </c>
      <c r="N8" s="18">
        <f>COUNTIF(MP_Fev.20!$F$11:$CN$11,MP_Fev.20!$G37)</f>
        <v>0</v>
      </c>
      <c r="O8" s="18">
        <f>COUNTIF(MP_Fev.20!$F$12:$CN$12,MP_Fev.20!$G37)</f>
        <v>0</v>
      </c>
      <c r="P8" s="16" t="s">
        <v>12</v>
      </c>
      <c r="Q8" s="18">
        <f>COUNTIF(MP_Mar.20!$F$7:$CT$7,MP_Mar.20!$G37)</f>
        <v>0</v>
      </c>
      <c r="R8" s="18">
        <f>COUNTIF(MP_Mar.20!$F$8:$CT$8,MP_Mar.20!$G37)</f>
        <v>0</v>
      </c>
      <c r="S8" s="18">
        <f>COUNTIF(MP_Mar.20!$F$9:$CT$9,MP_Mar.20!$G37)</f>
        <v>0</v>
      </c>
      <c r="T8" s="18">
        <f>COUNTIF(MP_Mar.20!$F$10:$CT$10,MP_Mar.20!$G37)</f>
        <v>0</v>
      </c>
      <c r="U8" s="18">
        <f>COUNTIF(MP_Mar.20!$F$11:$CT$11,MP_Mar.20!$G37)</f>
        <v>0</v>
      </c>
      <c r="V8" s="18">
        <f>COUNTIF(MP_Mar.20!$F$12:$CT$12,MP_Mar.20!$G37)</f>
        <v>0</v>
      </c>
      <c r="W8" s="16" t="s">
        <v>12</v>
      </c>
      <c r="X8" s="18">
        <f>COUNTIF(MP_Abr.20!$F$7:$CQ$7,MP_Abr.20!$G37)</f>
        <v>0</v>
      </c>
      <c r="Y8" s="18">
        <f>COUNTIF(MP_Abr.20!$F$8:$CQ$8,MP_Abr.20!$G37)</f>
        <v>0</v>
      </c>
      <c r="Z8" s="18">
        <f>COUNTIF(MP_Abr.20!$F$9:$CQ$9,MP_Abr.20!$G37)</f>
        <v>0</v>
      </c>
      <c r="AA8" s="18">
        <f>COUNTIF(MP_Abr.20!$F$10:$CQ$10,MP_Abr.20!$G37)</f>
        <v>0</v>
      </c>
      <c r="AB8" s="18">
        <f>COUNTIF(MP_Abr.20!$F$11:$CQ$11,MP_Abr.20!$G37)</f>
        <v>0</v>
      </c>
      <c r="AC8" s="18">
        <f>COUNTIF(MP_Abr.20!$F$12:$CQ$12,MP_Abr.20!$G37)</f>
        <v>0</v>
      </c>
      <c r="AD8" s="16" t="s">
        <v>12</v>
      </c>
      <c r="AE8" s="18">
        <f>COUNTIF(MP_Mai.20!$F$7:$CT$7,MP_Mai.20!$G37)</f>
        <v>0</v>
      </c>
      <c r="AF8" s="18">
        <f>COUNTIF(MP_Mai.20!$F$8:$CT$8,MP_Mai.20!$G37)</f>
        <v>0</v>
      </c>
      <c r="AG8" s="18">
        <f>COUNTIF(MP_Mai.20!$F$9:$CT$9,MP_Mai.20!$G37)</f>
        <v>0</v>
      </c>
      <c r="AH8" s="18">
        <f>COUNTIF(MP_Mai.20!$F$10:$CT$10,MP_Mai.20!$G37)</f>
        <v>0</v>
      </c>
      <c r="AI8" s="18">
        <f>COUNTIF(MP_Mai.20!$F$11:$CT$11,MP_Mai.20!$G37)</f>
        <v>0</v>
      </c>
      <c r="AJ8" s="18">
        <f>COUNTIF(MP_Mai.20!$F$12:$CT$12,MP_Mai.20!$G37)</f>
        <v>0</v>
      </c>
      <c r="AK8" s="16" t="s">
        <v>12</v>
      </c>
      <c r="AL8" s="18">
        <f>COUNTIF(MP_Jun.20!$F$7:$CQ$7,MP_Jun.20!$G37)</f>
        <v>0</v>
      </c>
      <c r="AM8" s="18">
        <f>COUNTIF(MP_Jun.20!$F$8:$CQ$8,MP_Jun.20!$G37)</f>
        <v>0</v>
      </c>
      <c r="AN8" s="18">
        <f>COUNTIF(MP_Jun.20!$F$9:$CQ$9,MP_Jun.20!$G37)</f>
        <v>0</v>
      </c>
      <c r="AO8" s="18">
        <f>COUNTIF(MP_Jun.20!$F$10:$CQ$10,MP_Jun.20!$G37)</f>
        <v>0</v>
      </c>
      <c r="AP8" s="18">
        <f>COUNTIF(MP_Jun.20!$F$11:$CQ$11,MP_Jun.20!$G37)</f>
        <v>0</v>
      </c>
      <c r="AQ8" s="18">
        <f>COUNTIF(MP_Jun.20!$F$12:$CQ$12,MP_Jun.20!$G37)</f>
        <v>0</v>
      </c>
      <c r="AR8" s="16" t="s">
        <v>12</v>
      </c>
      <c r="AS8" s="18">
        <f>COUNTIF(MP_Jul.20!$F$7:$CT$7,MP_Jul.20!$G37)</f>
        <v>0</v>
      </c>
      <c r="AT8" s="18">
        <f>COUNTIF(MP_Jul.20!$F$8:$CT$8,MP_Jul.20!$G37)</f>
        <v>0</v>
      </c>
      <c r="AU8" s="18">
        <f>COUNTIF(MP_Jul.20!$F$9:$CT$9,MP_Jul.20!$G37)</f>
        <v>0</v>
      </c>
      <c r="AV8" s="18">
        <f>COUNTIF(MP_Jul.20!$F$10:$CT$10,MP_Jul.20!$G37)</f>
        <v>0</v>
      </c>
      <c r="AW8" s="18">
        <f>COUNTIF(MP_Jul.20!$F$11:$CT$11,MP_Jul.20!$G37)</f>
        <v>0</v>
      </c>
      <c r="AX8" s="18">
        <f>COUNTIF(MP_Jul.20!$F$12:$CT$12,MP_Jul.20!$G37)</f>
        <v>0</v>
      </c>
      <c r="AY8" s="16" t="s">
        <v>12</v>
      </c>
      <c r="AZ8" s="18">
        <f>COUNTIF(MP_Ago.20!$F$7:$CT$7,MP_Ago.20!$G37)</f>
        <v>0</v>
      </c>
      <c r="BA8" s="18">
        <f>COUNTIF(MP_Ago.20!$F$8:$CT$8,MP_Ago.20!$G37)</f>
        <v>0</v>
      </c>
      <c r="BB8" s="18">
        <f>COUNTIF(MP_Ago.20!$F$9:$CT$9,MP_Ago.20!$G37)</f>
        <v>0</v>
      </c>
      <c r="BC8" s="18">
        <f>COUNTIF(MP_Ago.20!$F$10:$CT$10,MP_Ago.20!$G37)</f>
        <v>0</v>
      </c>
      <c r="BD8" s="18">
        <f>COUNTIF(MP_Ago.20!$F$11:$CT$11,MP_Ago.20!$G37)</f>
        <v>0</v>
      </c>
      <c r="BE8" s="18">
        <f>COUNTIF(MP_Ago.20!$F$12:$CT$12,MP_Ago.20!$G37)</f>
        <v>0</v>
      </c>
      <c r="BF8" s="16" t="s">
        <v>12</v>
      </c>
      <c r="BG8" s="18">
        <f>COUNTIF(MP_Set.20!$F$7:$CQ$7,MP_Set.20!$G37)</f>
        <v>0</v>
      </c>
      <c r="BH8" s="18">
        <f>COUNTIF(MP_Set.20!$F$8:$CQ$8,MP_Set.20!$G37)</f>
        <v>0</v>
      </c>
      <c r="BI8" s="18">
        <f>COUNTIF(MP_Set.20!$F$9:$CQ$9,MP_Set.20!$G37)</f>
        <v>0</v>
      </c>
      <c r="BJ8" s="18">
        <f>COUNTIF(MP_Set.20!$F$10:$CQ$10,MP_Set.20!$G37)</f>
        <v>0</v>
      </c>
      <c r="BK8" s="18">
        <f>COUNTIF(MP_Set.20!$F$11:$CQ$11,MP_Set.20!$G37)</f>
        <v>0</v>
      </c>
      <c r="BL8" s="18">
        <f>COUNTIF(MP_Set.20!$F$12:$CQ$12,MP_Set.20!$G37)</f>
        <v>0</v>
      </c>
      <c r="BM8" s="16" t="s">
        <v>12</v>
      </c>
      <c r="BN8" s="18">
        <f>COUNTIF(MP_Out.20!$F$7:$CT$7,MP_Out.20!$G37)</f>
        <v>0</v>
      </c>
      <c r="BO8" s="18">
        <f>COUNTIF(MP_Out.20!$F$8:$CT$8,MP_Out.20!$G37)</f>
        <v>0</v>
      </c>
      <c r="BP8" s="18">
        <f>COUNTIF(MP_Out.20!$F$9:$CT$9,MP_Out.20!$G37)</f>
        <v>0</v>
      </c>
      <c r="BQ8" s="18">
        <f>COUNTIF(MP_Out.20!$F$10:$CT$10,MP_Out.20!$G37)</f>
        <v>0</v>
      </c>
      <c r="BR8" s="18">
        <f>COUNTIF(MP_Out.20!$F$11:$CT$11,MP_Out.20!$G37)</f>
        <v>0</v>
      </c>
      <c r="BS8" s="18">
        <f>COUNTIF(MP_Out.20!$F$12:$CT$12,MP_Out.20!$G37)</f>
        <v>0</v>
      </c>
      <c r="BT8" s="16" t="s">
        <v>12</v>
      </c>
      <c r="BU8" s="18">
        <f>COUNTIF(MP_Nov.20!$F$7:$CQ$7,MP_Nov.20!$G37)</f>
        <v>0</v>
      </c>
      <c r="BV8" s="18">
        <f>COUNTIF(MP_Nov.20!$F$8:$CQ$8,MP_Nov.20!$G37)</f>
        <v>0</v>
      </c>
      <c r="BW8" s="18">
        <f>COUNTIF(MP_Nov.20!$F$9:$CQ$9,MP_Nov.20!$G37)</f>
        <v>0</v>
      </c>
      <c r="BX8" s="18">
        <f>COUNTIF(MP_Nov.20!$F$10:$CQ$10,MP_Nov.20!$G37)</f>
        <v>0</v>
      </c>
      <c r="BY8" s="18">
        <f>COUNTIF(MP_Nov.20!$F$11:$CQ$11,MP_Nov.20!$G37)</f>
        <v>0</v>
      </c>
      <c r="BZ8" s="18">
        <f>COUNTIF(MP_Nov.20!$F$12:$CQ$12,MP_Nov.20!$G37)</f>
        <v>0</v>
      </c>
      <c r="CA8" s="16" t="s">
        <v>12</v>
      </c>
      <c r="CB8" s="18">
        <f>COUNTIF(MP_Dez.20!$F$7:$CT$7,MP_Dez.20!$G37)</f>
        <v>0</v>
      </c>
      <c r="CC8" s="18">
        <f>COUNTIF(MP_Dez.20!$F$8:$CT$8,MP_Dez.20!$G37)</f>
        <v>0</v>
      </c>
      <c r="CD8" s="18">
        <f>COUNTIF(MP_Dez.20!$F$9:$CT$9,MP_Dez.20!$G37)</f>
        <v>0</v>
      </c>
      <c r="CE8" s="18">
        <f>COUNTIF(MP_Dez.20!$F$10:$CT$10,MP_Dez.20!$G37)</f>
        <v>0</v>
      </c>
      <c r="CF8" s="18">
        <f>COUNTIF(MP_Dez.20!$F$11:$CT$11,MP_Dez.20!$G37)</f>
        <v>0</v>
      </c>
      <c r="CG8" s="18">
        <f>COUNTIF(MP_Dez.20!$F$12:$CT$12,MP_Dez.20!$G37)</f>
        <v>0</v>
      </c>
    </row>
    <row r="9" spans="2:85" hidden="1" x14ac:dyDescent="0.25">
      <c r="B9" s="20" t="s">
        <v>36</v>
      </c>
      <c r="C9" s="18">
        <f>COUNTIF(MP_Jan.20!$F$7:$CT$7,MP_Jan.20!$G38)</f>
        <v>0</v>
      </c>
      <c r="D9" s="18">
        <f>COUNTIF(MP_Jan.20!$F$8:$CT$8,MP_Jan.20!$G38)</f>
        <v>0</v>
      </c>
      <c r="E9" s="18">
        <f>COUNTIF(MP_Jan.20!$F$9:$CT$9,MP_Jan.20!$G38)</f>
        <v>0</v>
      </c>
      <c r="F9" s="18">
        <f>COUNTIF(MP_Jan.20!$F$10:$CT$10,MP_Jan.20!$G38)</f>
        <v>0</v>
      </c>
      <c r="G9" s="18">
        <f>COUNTIF(MP_Jan.20!$F$11:$CT$11,MP_Jan.20!$G38)</f>
        <v>0</v>
      </c>
      <c r="H9" s="18">
        <f>COUNTIF(MP_Jan.20!$F$12:$CT$12,MP_Jan.20!$G38)</f>
        <v>0</v>
      </c>
      <c r="I9" s="51" t="s">
        <v>36</v>
      </c>
      <c r="J9" s="18">
        <f>COUNTIF(MP_Fev.20!$F$7:$CN$7,MP_Fev.20!$G38)</f>
        <v>0</v>
      </c>
      <c r="K9" s="18">
        <f>COUNTIF(MP_Fev.20!$F$8:$CN$8,MP_Fev.20!$G38)</f>
        <v>0</v>
      </c>
      <c r="L9" s="18">
        <f>COUNTIF(MP_Fev.20!$F$9:$CN$9,MP_Fev.20!$G38)</f>
        <v>0</v>
      </c>
      <c r="M9" s="18">
        <f>COUNTIF(MP_Fev.20!$F$10:$CN$10,MP_Fev.20!$G38)</f>
        <v>0</v>
      </c>
      <c r="N9" s="18">
        <f>COUNTIF(MP_Fev.20!$F$11:$CN$11,MP_Fev.20!$G38)</f>
        <v>0</v>
      </c>
      <c r="O9" s="18">
        <f>COUNTIF(MP_Fev.20!$F$12:$CN$12,MP_Fev.20!$G38)</f>
        <v>0</v>
      </c>
      <c r="P9" s="51" t="s">
        <v>36</v>
      </c>
      <c r="Q9" s="18">
        <f>COUNTIF(MP_Mar.20!$F$7:$CT$7,MP_Mar.20!$G38)</f>
        <v>0</v>
      </c>
      <c r="R9" s="18">
        <f>COUNTIF(MP_Mar.20!$F$8:$CT$8,MP_Mar.20!$G38)</f>
        <v>0</v>
      </c>
      <c r="S9" s="18">
        <f>COUNTIF(MP_Mar.20!$F$9:$CT$9,MP_Mar.20!$G38)</f>
        <v>0</v>
      </c>
      <c r="T9" s="18">
        <f>COUNTIF(MP_Mar.20!$F$10:$CT$10,MP_Mar.20!$G38)</f>
        <v>0</v>
      </c>
      <c r="U9" s="18">
        <f>COUNTIF(MP_Mar.20!$F$11:$CT$11,MP_Mar.20!$G38)</f>
        <v>0</v>
      </c>
      <c r="V9" s="18">
        <f>COUNTIF(MP_Mar.20!$F$12:$CT$12,MP_Mar.20!$G38)</f>
        <v>0</v>
      </c>
      <c r="W9" s="51" t="s">
        <v>36</v>
      </c>
      <c r="X9" s="18">
        <f>COUNTIF(MP_Abr.20!$F$7:$CQ$7,MP_Abr.20!$G38)</f>
        <v>0</v>
      </c>
      <c r="Y9" s="18">
        <f>COUNTIF(MP_Abr.20!$F$8:$CQ$8,MP_Abr.20!$G38)</f>
        <v>0</v>
      </c>
      <c r="Z9" s="18">
        <f>COUNTIF(MP_Abr.20!$F$9:$CQ$9,MP_Abr.20!$G38)</f>
        <v>0</v>
      </c>
      <c r="AA9" s="18">
        <f>COUNTIF(MP_Abr.20!$F$10:$CQ$10,MP_Abr.20!$G38)</f>
        <v>0</v>
      </c>
      <c r="AB9" s="18">
        <f>COUNTIF(MP_Abr.20!$F$11:$CQ$11,MP_Abr.20!$G38)</f>
        <v>0</v>
      </c>
      <c r="AC9" s="18">
        <f>COUNTIF(MP_Abr.20!$F$12:$CQ$12,MP_Abr.20!$G38)</f>
        <v>0</v>
      </c>
      <c r="AD9" s="51" t="s">
        <v>36</v>
      </c>
      <c r="AE9" s="18">
        <f>COUNTIF(MP_Mai.20!$F$7:$CT$7,MP_Mai.20!$G38)</f>
        <v>0</v>
      </c>
      <c r="AF9" s="18">
        <f>COUNTIF(MP_Mai.20!$F$8:$CT$8,MP_Mai.20!$G38)</f>
        <v>0</v>
      </c>
      <c r="AG9" s="18">
        <f>COUNTIF(MP_Mai.20!$F$9:$CT$9,MP_Mai.20!$G38)</f>
        <v>0</v>
      </c>
      <c r="AH9" s="18">
        <f>COUNTIF(MP_Mai.20!$F$10:$CT$10,MP_Mai.20!$G38)</f>
        <v>0</v>
      </c>
      <c r="AI9" s="18">
        <f>COUNTIF(MP_Mai.20!$F$11:$CT$11,MP_Mai.20!$G38)</f>
        <v>0</v>
      </c>
      <c r="AJ9" s="18">
        <f>COUNTIF(MP_Mai.20!$F$12:$CT$12,MP_Mai.20!$G38)</f>
        <v>0</v>
      </c>
      <c r="AK9" s="51" t="s">
        <v>36</v>
      </c>
      <c r="AL9" s="18">
        <f>COUNTIF(MP_Jun.20!$F$7:$CQ$7,MP_Jun.20!$G38)</f>
        <v>0</v>
      </c>
      <c r="AM9" s="18">
        <f>COUNTIF(MP_Jun.20!$F$8:$CQ$8,MP_Jun.20!$G38)</f>
        <v>0</v>
      </c>
      <c r="AN9" s="18">
        <f>COUNTIF(MP_Jun.20!$F$9:$CQ$9,MP_Jun.20!$G38)</f>
        <v>0</v>
      </c>
      <c r="AO9" s="18">
        <f>COUNTIF(MP_Jun.20!$F$10:$CQ$10,MP_Jun.20!$G38)</f>
        <v>0</v>
      </c>
      <c r="AP9" s="18">
        <f>COUNTIF(MP_Jun.20!$F$11:$CQ$11,MP_Jun.20!$G38)</f>
        <v>0</v>
      </c>
      <c r="AQ9" s="18">
        <f>COUNTIF(MP_Jun.20!$F$12:$CQ$12,MP_Jun.20!$G38)</f>
        <v>0</v>
      </c>
      <c r="AR9" s="51" t="s">
        <v>36</v>
      </c>
      <c r="AS9" s="18">
        <f>COUNTIF(MP_Jul.20!$F$7:$CT$7,MP_Jul.20!$G38)</f>
        <v>0</v>
      </c>
      <c r="AT9" s="18">
        <f>COUNTIF(MP_Jul.20!$F$8:$CT$8,MP_Jul.20!$G38)</f>
        <v>0</v>
      </c>
      <c r="AU9" s="18">
        <f>COUNTIF(MP_Jul.20!$F$9:$CT$9,MP_Jul.20!$G38)</f>
        <v>0</v>
      </c>
      <c r="AV9" s="18">
        <f>COUNTIF(MP_Jul.20!$F$10:$CT$10,MP_Jul.20!$G38)</f>
        <v>0</v>
      </c>
      <c r="AW9" s="18">
        <f>COUNTIF(MP_Jul.20!$F$11:$CT$11,MP_Jul.20!$G38)</f>
        <v>0</v>
      </c>
      <c r="AX9" s="18">
        <f>COUNTIF(MP_Jul.20!$F$12:$CT$12,MP_Jul.20!$G38)</f>
        <v>0</v>
      </c>
      <c r="AY9" s="51" t="s">
        <v>36</v>
      </c>
      <c r="AZ9" s="18">
        <f>COUNTIF(MP_Ago.20!$F$7:$CT$7,MP_Ago.20!$G38)</f>
        <v>0</v>
      </c>
      <c r="BA9" s="18">
        <f>COUNTIF(MP_Ago.20!$F$8:$CT$8,MP_Ago.20!$G38)</f>
        <v>0</v>
      </c>
      <c r="BB9" s="18">
        <f>COUNTIF(MP_Ago.20!$F$9:$CT$9,MP_Ago.20!$G38)</f>
        <v>0</v>
      </c>
      <c r="BC9" s="18">
        <f>COUNTIF(MP_Ago.20!$F$10:$CT$10,MP_Ago.20!$G38)</f>
        <v>0</v>
      </c>
      <c r="BD9" s="18">
        <f>COUNTIF(MP_Ago.20!$F$11:$CT$11,MP_Ago.20!$G38)</f>
        <v>0</v>
      </c>
      <c r="BE9" s="18">
        <f>COUNTIF(MP_Ago.20!$F$12:$CT$12,MP_Ago.20!$G38)</f>
        <v>0</v>
      </c>
      <c r="BF9" s="51" t="s">
        <v>36</v>
      </c>
      <c r="BG9" s="18">
        <f>COUNTIF(MP_Set.20!$F$7:$CQ$7,MP_Set.20!$G38)</f>
        <v>0</v>
      </c>
      <c r="BH9" s="18">
        <f>COUNTIF(MP_Set.20!$F$8:$CQ$8,MP_Set.20!$G38)</f>
        <v>0</v>
      </c>
      <c r="BI9" s="18">
        <f>COUNTIF(MP_Set.20!$F$9:$CQ$9,MP_Set.20!$G38)</f>
        <v>0</v>
      </c>
      <c r="BJ9" s="18">
        <f>COUNTIF(MP_Set.20!$F$10:$CQ$10,MP_Set.20!$G38)</f>
        <v>0</v>
      </c>
      <c r="BK9" s="18">
        <f>COUNTIF(MP_Set.20!$F$11:$CQ$11,MP_Set.20!$G38)</f>
        <v>0</v>
      </c>
      <c r="BL9" s="18">
        <f>COUNTIF(MP_Set.20!$F$12:$CQ$12,MP_Set.20!$G38)</f>
        <v>0</v>
      </c>
      <c r="BM9" s="51" t="s">
        <v>36</v>
      </c>
      <c r="BN9" s="18">
        <f>COUNTIF(MP_Out.20!$F$7:$CT$7,MP_Out.20!$G38)</f>
        <v>0</v>
      </c>
      <c r="BO9" s="18">
        <f>COUNTIF(MP_Out.20!$F$8:$CT$8,MP_Out.20!$G38)</f>
        <v>0</v>
      </c>
      <c r="BP9" s="18">
        <f>COUNTIF(MP_Out.20!$F$9:$CT$9,MP_Out.20!$G38)</f>
        <v>0</v>
      </c>
      <c r="BQ9" s="18">
        <f>COUNTIF(MP_Out.20!$F$10:$CT$10,MP_Out.20!$G38)</f>
        <v>0</v>
      </c>
      <c r="BR9" s="18">
        <f>COUNTIF(MP_Out.20!$F$11:$CT$11,MP_Out.20!$G38)</f>
        <v>0</v>
      </c>
      <c r="BS9" s="18">
        <f>COUNTIF(MP_Out.20!$F$12:$CT$12,MP_Out.20!$G38)</f>
        <v>0</v>
      </c>
      <c r="BT9" s="51" t="s">
        <v>36</v>
      </c>
      <c r="BU9" s="18">
        <f>COUNTIF(MP_Nov.20!$F$7:$CQ$7,MP_Nov.20!$G38)</f>
        <v>0</v>
      </c>
      <c r="BV9" s="18">
        <f>COUNTIF(MP_Nov.20!$F$8:$CQ$8,MP_Nov.20!$G38)</f>
        <v>0</v>
      </c>
      <c r="BW9" s="18">
        <f>COUNTIF(MP_Nov.20!$F$9:$CQ$9,MP_Nov.20!$G38)</f>
        <v>0</v>
      </c>
      <c r="BX9" s="18">
        <f>COUNTIF(MP_Nov.20!$F$10:$CQ$10,MP_Nov.20!$G38)</f>
        <v>0</v>
      </c>
      <c r="BY9" s="18">
        <f>COUNTIF(MP_Nov.20!$F$11:$CQ$11,MP_Nov.20!$G38)</f>
        <v>0</v>
      </c>
      <c r="BZ9" s="18">
        <f>COUNTIF(MP_Nov.20!$F$12:$CQ$12,MP_Nov.20!$G38)</f>
        <v>0</v>
      </c>
      <c r="CA9" s="51" t="s">
        <v>36</v>
      </c>
      <c r="CB9" s="18">
        <f>COUNTIF(MP_Dez.20!$F$7:$CT$7,MP_Dez.20!$G38)</f>
        <v>0</v>
      </c>
      <c r="CC9" s="18">
        <f>COUNTIF(MP_Dez.20!$F$8:$CT$8,MP_Dez.20!$G38)</f>
        <v>0</v>
      </c>
      <c r="CD9" s="18">
        <f>COUNTIF(MP_Dez.20!$F$9:$CT$9,MP_Dez.20!$G38)</f>
        <v>0</v>
      </c>
      <c r="CE9" s="18">
        <f>COUNTIF(MP_Dez.20!$F$10:$CT$10,MP_Dez.20!$G38)</f>
        <v>0</v>
      </c>
      <c r="CF9" s="18">
        <f>COUNTIF(MP_Dez.20!$F$11:$CT$11,MP_Dez.20!$G38)</f>
        <v>0</v>
      </c>
      <c r="CG9" s="18">
        <f>COUNTIF(MP_Dez.20!$F$12:$CT$12,MP_Dez.20!$G38)</f>
        <v>0</v>
      </c>
    </row>
    <row r="10" spans="2:85" hidden="1" x14ac:dyDescent="0.25">
      <c r="B10" s="20" t="s">
        <v>17</v>
      </c>
      <c r="C10" s="18">
        <f>COUNTIF(MP_Jan.20!$F$7:$CT$7,MP_Jan.20!$G39)</f>
        <v>0</v>
      </c>
      <c r="D10" s="18">
        <f>COUNTIF(MP_Jan.20!$F$8:$CT$8,MP_Jan.20!$G39)</f>
        <v>0</v>
      </c>
      <c r="E10" s="18">
        <f>COUNTIF(MP_Jan.20!$F$9:$CT$9,MP_Jan.20!$G39)</f>
        <v>0</v>
      </c>
      <c r="F10" s="18">
        <f>COUNTIF(MP_Jan.20!$F$10:$CT$10,MP_Jan.20!$G39)</f>
        <v>0</v>
      </c>
      <c r="G10" s="18">
        <f>COUNTIF(MP_Jan.20!$F$11:$CT$11,MP_Jan.20!$G39)</f>
        <v>0</v>
      </c>
      <c r="H10" s="18">
        <f>COUNTIF(MP_Jan.20!$F$12:$CT$12,MP_Jan.20!$G39)</f>
        <v>0</v>
      </c>
      <c r="I10" s="51" t="s">
        <v>17</v>
      </c>
      <c r="J10" s="18">
        <f>COUNTIF(MP_Fev.20!$F$7:$CN$7,MP_Fev.20!$G39)</f>
        <v>0</v>
      </c>
      <c r="K10" s="18">
        <f>COUNTIF(MP_Fev.20!$F$8:$CN$8,MP_Fev.20!$G39)</f>
        <v>0</v>
      </c>
      <c r="L10" s="18">
        <f>COUNTIF(MP_Fev.20!$F$9:$CN$9,MP_Fev.20!$G39)</f>
        <v>0</v>
      </c>
      <c r="M10" s="18">
        <f>COUNTIF(MP_Fev.20!$F$10:$CN$10,MP_Fev.20!$G39)</f>
        <v>0</v>
      </c>
      <c r="N10" s="18">
        <f>COUNTIF(MP_Fev.20!$F$11:$CN$11,MP_Fev.20!$G39)</f>
        <v>0</v>
      </c>
      <c r="O10" s="18">
        <f>COUNTIF(MP_Fev.20!$F$12:$CN$12,MP_Fev.20!$G39)</f>
        <v>0</v>
      </c>
      <c r="P10" s="51" t="s">
        <v>17</v>
      </c>
      <c r="Q10" s="18">
        <f>COUNTIF(MP_Mar.20!$F$7:$CT$7,MP_Mar.20!$G39)</f>
        <v>0</v>
      </c>
      <c r="R10" s="18">
        <f>COUNTIF(MP_Mar.20!$F$8:$CT$8,MP_Mar.20!$G39)</f>
        <v>0</v>
      </c>
      <c r="S10" s="18">
        <f>COUNTIF(MP_Mar.20!$F$9:$CT$9,MP_Mar.20!$G39)</f>
        <v>0</v>
      </c>
      <c r="T10" s="18">
        <f>COUNTIF(MP_Mar.20!$F$10:$CT$10,MP_Mar.20!$G39)</f>
        <v>0</v>
      </c>
      <c r="U10" s="18">
        <f>COUNTIF(MP_Mar.20!$F$11:$CT$11,MP_Mar.20!$G39)</f>
        <v>0</v>
      </c>
      <c r="V10" s="18">
        <f>COUNTIF(MP_Mar.20!$F$12:$CT$12,MP_Mar.20!$G39)</f>
        <v>0</v>
      </c>
      <c r="W10" s="51" t="s">
        <v>17</v>
      </c>
      <c r="X10" s="18">
        <f>COUNTIF(MP_Abr.20!$F$7:$CQ$7,MP_Abr.20!$G39)</f>
        <v>0</v>
      </c>
      <c r="Y10" s="18">
        <f>COUNTIF(MP_Abr.20!$F$8:$CQ$8,MP_Abr.20!$G39)</f>
        <v>0</v>
      </c>
      <c r="Z10" s="18">
        <f>COUNTIF(MP_Abr.20!$F$9:$CQ$9,MP_Abr.20!$G39)</f>
        <v>0</v>
      </c>
      <c r="AA10" s="18">
        <f>COUNTIF(MP_Abr.20!$F$10:$CQ$10,MP_Abr.20!$G39)</f>
        <v>0</v>
      </c>
      <c r="AB10" s="18">
        <f>COUNTIF(MP_Abr.20!$F$11:$CQ$11,MP_Abr.20!$G39)</f>
        <v>0</v>
      </c>
      <c r="AC10" s="18">
        <f>COUNTIF(MP_Abr.20!$F$12:$CQ$12,MP_Abr.20!$G39)</f>
        <v>0</v>
      </c>
      <c r="AD10" s="51" t="s">
        <v>17</v>
      </c>
      <c r="AE10" s="18">
        <f>COUNTIF(MP_Mai.20!$F$7:$CT$7,MP_Mai.20!$G39)</f>
        <v>0</v>
      </c>
      <c r="AF10" s="18">
        <f>COUNTIF(MP_Mai.20!$F$8:$CT$8,MP_Mai.20!$G39)</f>
        <v>0</v>
      </c>
      <c r="AG10" s="18">
        <f>COUNTIF(MP_Mai.20!$F$9:$CT$9,MP_Mai.20!$G39)</f>
        <v>0</v>
      </c>
      <c r="AH10" s="18">
        <f>COUNTIF(MP_Mai.20!$F$10:$CT$10,MP_Mai.20!$G39)</f>
        <v>0</v>
      </c>
      <c r="AI10" s="18">
        <f>COUNTIF(MP_Mai.20!$F$11:$CT$11,MP_Mai.20!$G39)</f>
        <v>0</v>
      </c>
      <c r="AJ10" s="18">
        <f>COUNTIF(MP_Mai.20!$F$12:$CT$12,MP_Mai.20!$G39)</f>
        <v>0</v>
      </c>
      <c r="AK10" s="51" t="s">
        <v>17</v>
      </c>
      <c r="AL10" s="18">
        <f>COUNTIF(MP_Jun.20!$F$7:$CQ$7,MP_Jun.20!$G39)</f>
        <v>0</v>
      </c>
      <c r="AM10" s="18">
        <f>COUNTIF(MP_Jun.20!$F$8:$CQ$8,MP_Jun.20!$G39)</f>
        <v>0</v>
      </c>
      <c r="AN10" s="18">
        <f>COUNTIF(MP_Jun.20!$F$9:$CQ$9,MP_Jun.20!$G39)</f>
        <v>0</v>
      </c>
      <c r="AO10" s="18">
        <f>COUNTIF(MP_Jun.20!$F$10:$CQ$10,MP_Jun.20!$G39)</f>
        <v>0</v>
      </c>
      <c r="AP10" s="18">
        <f>COUNTIF(MP_Jun.20!$F$11:$CQ$11,MP_Jun.20!$G39)</f>
        <v>0</v>
      </c>
      <c r="AQ10" s="18">
        <f>COUNTIF(MP_Jun.20!$F$12:$CQ$12,MP_Jun.20!$G39)</f>
        <v>0</v>
      </c>
      <c r="AR10" s="51" t="s">
        <v>17</v>
      </c>
      <c r="AS10" s="18">
        <f>COUNTIF(MP_Jul.20!$F$7:$CT$7,MP_Jul.20!$G39)</f>
        <v>0</v>
      </c>
      <c r="AT10" s="18">
        <f>COUNTIF(MP_Jul.20!$F$8:$CT$8,MP_Jul.20!$G39)</f>
        <v>0</v>
      </c>
      <c r="AU10" s="18">
        <f>COUNTIF(MP_Jul.20!$F$9:$CT$9,MP_Jul.20!$G39)</f>
        <v>0</v>
      </c>
      <c r="AV10" s="18">
        <f>COUNTIF(MP_Jul.20!$F$10:$CT$10,MP_Jul.20!$G39)</f>
        <v>0</v>
      </c>
      <c r="AW10" s="18">
        <f>COUNTIF(MP_Jul.20!$F$11:$CT$11,MP_Jul.20!$G39)</f>
        <v>0</v>
      </c>
      <c r="AX10" s="18">
        <f>COUNTIF(MP_Jul.20!$F$12:$CT$12,MP_Jul.20!$G39)</f>
        <v>0</v>
      </c>
      <c r="AY10" s="51" t="s">
        <v>17</v>
      </c>
      <c r="AZ10" s="18">
        <f>COUNTIF(MP_Ago.20!$F$7:$CT$7,MP_Ago.20!$G39)</f>
        <v>0</v>
      </c>
      <c r="BA10" s="18">
        <f>COUNTIF(MP_Ago.20!$F$8:$CT$8,MP_Ago.20!$G39)</f>
        <v>0</v>
      </c>
      <c r="BB10" s="18">
        <f>COUNTIF(MP_Ago.20!$F$9:$CT$9,MP_Ago.20!$G39)</f>
        <v>0</v>
      </c>
      <c r="BC10" s="18">
        <f>COUNTIF(MP_Ago.20!$F$10:$CT$10,MP_Ago.20!$G39)</f>
        <v>0</v>
      </c>
      <c r="BD10" s="18">
        <f>COUNTIF(MP_Ago.20!$F$11:$CT$11,MP_Ago.20!$G39)</f>
        <v>0</v>
      </c>
      <c r="BE10" s="18">
        <f>COUNTIF(MP_Ago.20!$F$12:$CT$12,MP_Ago.20!$G39)</f>
        <v>0</v>
      </c>
      <c r="BF10" s="51" t="s">
        <v>17</v>
      </c>
      <c r="BG10" s="18">
        <f>COUNTIF(MP_Set.20!$F$7:$CQ$7,MP_Set.20!$G39)</f>
        <v>0</v>
      </c>
      <c r="BH10" s="18">
        <f>COUNTIF(MP_Set.20!$F$8:$CQ$8,MP_Set.20!$G39)</f>
        <v>0</v>
      </c>
      <c r="BI10" s="18">
        <f>COUNTIF(MP_Set.20!$F$9:$CQ$9,MP_Set.20!$G39)</f>
        <v>0</v>
      </c>
      <c r="BJ10" s="18">
        <f>COUNTIF(MP_Set.20!$F$10:$CQ$10,MP_Set.20!$G39)</f>
        <v>0</v>
      </c>
      <c r="BK10" s="18">
        <f>COUNTIF(MP_Set.20!$F$11:$CQ$11,MP_Set.20!$G39)</f>
        <v>0</v>
      </c>
      <c r="BL10" s="18">
        <f>COUNTIF(MP_Set.20!$F$12:$CQ$12,MP_Set.20!$G39)</f>
        <v>0</v>
      </c>
      <c r="BM10" s="51" t="s">
        <v>17</v>
      </c>
      <c r="BN10" s="18">
        <f>COUNTIF(MP_Out.20!$F$7:$CT$7,MP_Out.20!$G39)</f>
        <v>0</v>
      </c>
      <c r="BO10" s="18">
        <f>COUNTIF(MP_Out.20!$F$8:$CT$8,MP_Out.20!$G39)</f>
        <v>0</v>
      </c>
      <c r="BP10" s="18">
        <f>COUNTIF(MP_Out.20!$F$9:$CT$9,MP_Out.20!$G39)</f>
        <v>0</v>
      </c>
      <c r="BQ10" s="18">
        <f>COUNTIF(MP_Out.20!$F$10:$CT$10,MP_Out.20!$G39)</f>
        <v>0</v>
      </c>
      <c r="BR10" s="18">
        <f>COUNTIF(MP_Out.20!$F$11:$CT$11,MP_Out.20!$G39)</f>
        <v>0</v>
      </c>
      <c r="BS10" s="18">
        <f>COUNTIF(MP_Out.20!$F$12:$CT$12,MP_Out.20!$G39)</f>
        <v>0</v>
      </c>
      <c r="BT10" s="51" t="s">
        <v>17</v>
      </c>
      <c r="BU10" s="18">
        <f>COUNTIF(MP_Nov.20!$F$7:$CQ$7,MP_Nov.20!$G39)</f>
        <v>0</v>
      </c>
      <c r="BV10" s="18">
        <f>COUNTIF(MP_Nov.20!$F$8:$CQ$8,MP_Nov.20!$G39)</f>
        <v>0</v>
      </c>
      <c r="BW10" s="18">
        <f>COUNTIF(MP_Nov.20!$F$9:$CQ$9,MP_Nov.20!$G39)</f>
        <v>0</v>
      </c>
      <c r="BX10" s="18">
        <f>COUNTIF(MP_Nov.20!$F$10:$CQ$10,MP_Nov.20!$G39)</f>
        <v>0</v>
      </c>
      <c r="BY10" s="18">
        <f>COUNTIF(MP_Nov.20!$F$11:$CQ$11,MP_Nov.20!$G39)</f>
        <v>0</v>
      </c>
      <c r="BZ10" s="18">
        <f>COUNTIF(MP_Nov.20!$F$12:$CQ$12,MP_Nov.20!$G39)</f>
        <v>0</v>
      </c>
      <c r="CA10" s="51" t="s">
        <v>17</v>
      </c>
      <c r="CB10" s="18">
        <f>COUNTIF(MP_Dez.20!$F$7:$CT$7,MP_Dez.20!$G39)</f>
        <v>0</v>
      </c>
      <c r="CC10" s="18">
        <f>COUNTIF(MP_Dez.20!$F$8:$CT$8,MP_Dez.20!$G39)</f>
        <v>0</v>
      </c>
      <c r="CD10" s="18">
        <f>COUNTIF(MP_Dez.20!$F$9:$CT$9,MP_Dez.20!$G39)</f>
        <v>0</v>
      </c>
      <c r="CE10" s="18">
        <f>COUNTIF(MP_Dez.20!$F$10:$CT$10,MP_Dez.20!$G39)</f>
        <v>0</v>
      </c>
      <c r="CF10" s="18">
        <f>COUNTIF(MP_Dez.20!$F$11:$CT$11,MP_Dez.20!$G39)</f>
        <v>0</v>
      </c>
      <c r="CG10" s="18">
        <f>COUNTIF(MP_Dez.20!$F$12:$CT$12,MP_Dez.20!$G39)</f>
        <v>0</v>
      </c>
    </row>
    <row r="11" spans="2:85" hidden="1" x14ac:dyDescent="0.25">
      <c r="B11" s="20" t="s">
        <v>44</v>
      </c>
      <c r="C11" s="18">
        <f>COUNTIF(MP_Jan.20!$F$7:$CT$7,MP_Jan.20!$G40)</f>
        <v>0</v>
      </c>
      <c r="D11" s="18">
        <f>COUNTIF(MP_Jan.20!$F$8:$CT$8,MP_Jan.20!$G40)</f>
        <v>0</v>
      </c>
      <c r="E11" s="18">
        <f>COUNTIF(MP_Jan.20!$F$9:$CT$9,MP_Jan.20!$G40)</f>
        <v>0</v>
      </c>
      <c r="F11" s="18">
        <f>COUNTIF(MP_Jan.20!$F$10:$CT$10,MP_Jan.20!$G40)</f>
        <v>0</v>
      </c>
      <c r="G11" s="18">
        <f>COUNTIF(MP_Jan.20!$F$11:$CT$11,MP_Jan.20!$G40)</f>
        <v>0</v>
      </c>
      <c r="H11" s="18">
        <f>COUNTIF(MP_Jan.20!$F$12:$CT$12,MP_Jan.20!$G40)</f>
        <v>0</v>
      </c>
      <c r="I11" s="51" t="s">
        <v>44</v>
      </c>
      <c r="J11" s="18">
        <f>COUNTIF(MP_Fev.20!$F$7:$CN$7,MP_Fev.20!$G40)</f>
        <v>0</v>
      </c>
      <c r="K11" s="18">
        <f>COUNTIF(MP_Fev.20!$F$8:$CN$8,MP_Fev.20!$G40)</f>
        <v>0</v>
      </c>
      <c r="L11" s="18">
        <f>COUNTIF(MP_Fev.20!$F$9:$CN$9,MP_Fev.20!$G40)</f>
        <v>0</v>
      </c>
      <c r="M11" s="18">
        <f>COUNTIF(MP_Fev.20!$F$10:$CN$10,MP_Fev.20!$G40)</f>
        <v>0</v>
      </c>
      <c r="N11" s="18">
        <f>COUNTIF(MP_Fev.20!$F$11:$CN$11,MP_Fev.20!$G40)</f>
        <v>0</v>
      </c>
      <c r="O11" s="18">
        <f>COUNTIF(MP_Fev.20!$F$12:$CN$12,MP_Fev.20!$G40)</f>
        <v>0</v>
      </c>
      <c r="P11" s="51" t="s">
        <v>44</v>
      </c>
      <c r="Q11" s="18">
        <f>COUNTIF(MP_Mar.20!$F$7:$CT$7,MP_Mar.20!$G40)</f>
        <v>0</v>
      </c>
      <c r="R11" s="18">
        <f>COUNTIF(MP_Mar.20!$F$8:$CT$8,MP_Mar.20!$G40)</f>
        <v>0</v>
      </c>
      <c r="S11" s="18">
        <f>COUNTIF(MP_Mar.20!$F$9:$CT$9,MP_Mar.20!$G40)</f>
        <v>0</v>
      </c>
      <c r="T11" s="18">
        <f>COUNTIF(MP_Mar.20!$F$10:$CT$10,MP_Mar.20!$G40)</f>
        <v>0</v>
      </c>
      <c r="U11" s="18">
        <f>COUNTIF(MP_Mar.20!$F$11:$CT$11,MP_Mar.20!$G40)</f>
        <v>0</v>
      </c>
      <c r="V11" s="18">
        <f>COUNTIF(MP_Mar.20!$F$12:$CT$12,MP_Mar.20!$G40)</f>
        <v>0</v>
      </c>
      <c r="W11" s="51" t="s">
        <v>44</v>
      </c>
      <c r="X11" s="18">
        <f>COUNTIF(MP_Abr.20!$F$7:$CQ$7,MP_Abr.20!$G40)</f>
        <v>0</v>
      </c>
      <c r="Y11" s="18">
        <f>COUNTIF(MP_Abr.20!$F$8:$CQ$8,MP_Abr.20!$G40)</f>
        <v>0</v>
      </c>
      <c r="Z11" s="18">
        <f>COUNTIF(MP_Abr.20!$F$9:$CQ$9,MP_Abr.20!$G40)</f>
        <v>0</v>
      </c>
      <c r="AA11" s="18">
        <f>COUNTIF(MP_Abr.20!$F$10:$CQ$10,MP_Abr.20!$G40)</f>
        <v>0</v>
      </c>
      <c r="AB11" s="18">
        <f>COUNTIF(MP_Abr.20!$F$11:$CQ$11,MP_Abr.20!$G40)</f>
        <v>0</v>
      </c>
      <c r="AC11" s="18">
        <f>COUNTIF(MP_Abr.20!$F$12:$CQ$12,MP_Abr.20!$G40)</f>
        <v>0</v>
      </c>
      <c r="AD11" s="51" t="s">
        <v>44</v>
      </c>
      <c r="AE11" s="18">
        <f>COUNTIF(MP_Mai.20!$F$7:$CT$7,MP_Mai.20!$G40)</f>
        <v>0</v>
      </c>
      <c r="AF11" s="18">
        <f>COUNTIF(MP_Mai.20!$F$8:$CT$8,MP_Mai.20!$G40)</f>
        <v>0</v>
      </c>
      <c r="AG11" s="18">
        <f>COUNTIF(MP_Mai.20!$F$9:$CT$9,MP_Mai.20!$G40)</f>
        <v>0</v>
      </c>
      <c r="AH11" s="18">
        <f>COUNTIF(MP_Mai.20!$F$10:$CT$10,MP_Mai.20!$G40)</f>
        <v>0</v>
      </c>
      <c r="AI11" s="18">
        <f>COUNTIF(MP_Mai.20!$F$11:$CT$11,MP_Mai.20!$G40)</f>
        <v>0</v>
      </c>
      <c r="AJ11" s="18">
        <f>COUNTIF(MP_Mai.20!$F$12:$CT$12,MP_Mai.20!$G40)</f>
        <v>0</v>
      </c>
      <c r="AK11" s="51" t="s">
        <v>44</v>
      </c>
      <c r="AL11" s="18">
        <f>COUNTIF(MP_Jun.20!$F$7:$CQ$7,MP_Jun.20!$G40)</f>
        <v>0</v>
      </c>
      <c r="AM11" s="18">
        <f>COUNTIF(MP_Jun.20!$F$8:$CQ$8,MP_Jun.20!$G40)</f>
        <v>0</v>
      </c>
      <c r="AN11" s="18">
        <f>COUNTIF(MP_Jun.20!$F$9:$CQ$9,MP_Jun.20!$G40)</f>
        <v>0</v>
      </c>
      <c r="AO11" s="18">
        <f>COUNTIF(MP_Jun.20!$F$10:$CQ$10,MP_Jun.20!$G40)</f>
        <v>0</v>
      </c>
      <c r="AP11" s="18">
        <f>COUNTIF(MP_Jun.20!$F$11:$CQ$11,MP_Jun.20!$G40)</f>
        <v>0</v>
      </c>
      <c r="AQ11" s="18">
        <f>COUNTIF(MP_Jun.20!$F$12:$CQ$12,MP_Jun.20!$G40)</f>
        <v>0</v>
      </c>
      <c r="AR11" s="51" t="s">
        <v>44</v>
      </c>
      <c r="AS11" s="18">
        <f>COUNTIF(MP_Jul.20!$F$7:$CT$7,MP_Jul.20!$G40)</f>
        <v>0</v>
      </c>
      <c r="AT11" s="18">
        <f>COUNTIF(MP_Jul.20!$F$8:$CT$8,MP_Jul.20!$G40)</f>
        <v>0</v>
      </c>
      <c r="AU11" s="18">
        <f>COUNTIF(MP_Jul.20!$F$9:$CT$9,MP_Jul.20!$G40)</f>
        <v>0</v>
      </c>
      <c r="AV11" s="18">
        <f>COUNTIF(MP_Jul.20!$F$10:$CT$10,MP_Jul.20!$G40)</f>
        <v>0</v>
      </c>
      <c r="AW11" s="18">
        <f>COUNTIF(MP_Jul.20!$F$11:$CT$11,MP_Jul.20!$G40)</f>
        <v>0</v>
      </c>
      <c r="AX11" s="18">
        <f>COUNTIF(MP_Jul.20!$F$12:$CT$12,MP_Jul.20!$G40)</f>
        <v>0</v>
      </c>
      <c r="AY11" s="51" t="s">
        <v>44</v>
      </c>
      <c r="AZ11" s="18">
        <f>COUNTIF(MP_Ago.20!$F$7:$CT$7,MP_Ago.20!$G40)</f>
        <v>0</v>
      </c>
      <c r="BA11" s="18">
        <f>COUNTIF(MP_Ago.20!$F$8:$CT$8,MP_Ago.20!$G40)</f>
        <v>0</v>
      </c>
      <c r="BB11" s="18">
        <f>COUNTIF(MP_Ago.20!$F$9:$CT$9,MP_Ago.20!$G40)</f>
        <v>0</v>
      </c>
      <c r="BC11" s="18">
        <f>COUNTIF(MP_Ago.20!$F$10:$CT$10,MP_Ago.20!$G40)</f>
        <v>0</v>
      </c>
      <c r="BD11" s="18">
        <f>COUNTIF(MP_Ago.20!$F$11:$CT$11,MP_Ago.20!$G40)</f>
        <v>0</v>
      </c>
      <c r="BE11" s="18">
        <f>COUNTIF(MP_Ago.20!$F$12:$CT$12,MP_Ago.20!$G40)</f>
        <v>0</v>
      </c>
      <c r="BF11" s="51" t="s">
        <v>44</v>
      </c>
      <c r="BG11" s="18">
        <f>COUNTIF(MP_Set.20!$F$7:$CQ$7,MP_Set.20!$G40)</f>
        <v>0</v>
      </c>
      <c r="BH11" s="18">
        <f>COUNTIF(MP_Set.20!$F$8:$CQ$8,MP_Set.20!$G40)</f>
        <v>0</v>
      </c>
      <c r="BI11" s="18">
        <f>COUNTIF(MP_Set.20!$F$9:$CQ$9,MP_Set.20!$G40)</f>
        <v>0</v>
      </c>
      <c r="BJ11" s="18">
        <f>COUNTIF(MP_Set.20!$F$10:$CQ$10,MP_Set.20!$G40)</f>
        <v>0</v>
      </c>
      <c r="BK11" s="18">
        <f>COUNTIF(MP_Set.20!$F$11:$CQ$11,MP_Set.20!$G40)</f>
        <v>0</v>
      </c>
      <c r="BL11" s="18">
        <f>COUNTIF(MP_Set.20!$F$12:$CQ$12,MP_Set.20!$G40)</f>
        <v>0</v>
      </c>
      <c r="BM11" s="51" t="s">
        <v>44</v>
      </c>
      <c r="BN11" s="18">
        <f>COUNTIF(MP_Out.20!$F$7:$CT$7,MP_Out.20!$G40)</f>
        <v>0</v>
      </c>
      <c r="BO11" s="18">
        <f>COUNTIF(MP_Out.20!$F$8:$CT$8,MP_Out.20!$G40)</f>
        <v>0</v>
      </c>
      <c r="BP11" s="18">
        <f>COUNTIF(MP_Out.20!$F$9:$CT$9,MP_Out.20!$G40)</f>
        <v>0</v>
      </c>
      <c r="BQ11" s="18">
        <f>COUNTIF(MP_Out.20!$F$10:$CT$10,MP_Out.20!$G40)</f>
        <v>0</v>
      </c>
      <c r="BR11" s="18">
        <f>COUNTIF(MP_Out.20!$F$11:$CT$11,MP_Out.20!$G40)</f>
        <v>0</v>
      </c>
      <c r="BS11" s="18">
        <f>COUNTIF(MP_Out.20!$F$12:$CT$12,MP_Out.20!$G40)</f>
        <v>0</v>
      </c>
      <c r="BT11" s="51" t="s">
        <v>44</v>
      </c>
      <c r="BU11" s="18">
        <f>COUNTIF(MP_Nov.20!$F$7:$CQ$7,MP_Nov.20!$G40)</f>
        <v>0</v>
      </c>
      <c r="BV11" s="18">
        <f>COUNTIF(MP_Nov.20!$F$8:$CQ$8,MP_Nov.20!$G40)</f>
        <v>0</v>
      </c>
      <c r="BW11" s="18">
        <f>COUNTIF(MP_Nov.20!$F$9:$CQ$9,MP_Nov.20!$G40)</f>
        <v>0</v>
      </c>
      <c r="BX11" s="18">
        <f>COUNTIF(MP_Nov.20!$F$10:$CQ$10,MP_Nov.20!$G40)</f>
        <v>0</v>
      </c>
      <c r="BY11" s="18">
        <f>COUNTIF(MP_Nov.20!$F$11:$CQ$11,MP_Nov.20!$G40)</f>
        <v>0</v>
      </c>
      <c r="BZ11" s="18">
        <f>COUNTIF(MP_Nov.20!$F$12:$CQ$12,MP_Nov.20!$G40)</f>
        <v>0</v>
      </c>
      <c r="CA11" s="51" t="s">
        <v>44</v>
      </c>
      <c r="CB11" s="18">
        <f>COUNTIF(MP_Dez.20!$F$7:$CT$7,MP_Dez.20!$G40)</f>
        <v>0</v>
      </c>
      <c r="CC11" s="18">
        <f>COUNTIF(MP_Dez.20!$F$8:$CT$8,MP_Dez.20!$G40)</f>
        <v>0</v>
      </c>
      <c r="CD11" s="18">
        <f>COUNTIF(MP_Dez.20!$F$9:$CT$9,MP_Dez.20!$G40)</f>
        <v>0</v>
      </c>
      <c r="CE11" s="18">
        <f>COUNTIF(MP_Dez.20!$F$10:$CT$10,MP_Dez.20!$G40)</f>
        <v>0</v>
      </c>
      <c r="CF11" s="18">
        <f>COUNTIF(MP_Dez.20!$F$11:$CT$11,MP_Dez.20!$G40)</f>
        <v>0</v>
      </c>
      <c r="CG11" s="18">
        <f>COUNTIF(MP_Dez.20!$F$12:$CT$12,MP_Dez.20!$G40)</f>
        <v>0</v>
      </c>
    </row>
    <row r="12" spans="2:85" hidden="1" x14ac:dyDescent="0.25">
      <c r="B12" s="20" t="s">
        <v>38</v>
      </c>
      <c r="C12" s="18">
        <f>COUNTIF(MP_Jan.20!$F$7:$CT$7,MP_Jan.20!$G41)</f>
        <v>0</v>
      </c>
      <c r="D12" s="18">
        <f>COUNTIF(MP_Jan.20!$F$8:$CT$8,MP_Jan.20!$G41)</f>
        <v>0</v>
      </c>
      <c r="E12" s="18">
        <f>COUNTIF(MP_Jan.20!$F$9:$CT$9,MP_Jan.20!$G41)</f>
        <v>0</v>
      </c>
      <c r="F12" s="18">
        <f>COUNTIF(MP_Jan.20!$F$10:$CT$10,MP_Jan.20!$G41)</f>
        <v>4</v>
      </c>
      <c r="G12" s="18">
        <f>COUNTIF(MP_Jan.20!$F$11:$CT$11,MP_Jan.20!$G41)</f>
        <v>0</v>
      </c>
      <c r="H12" s="18">
        <f>COUNTIF(MP_Jan.20!$F$12:$CT$12,MP_Jan.20!$G41)</f>
        <v>0</v>
      </c>
      <c r="I12" s="51" t="s">
        <v>38</v>
      </c>
      <c r="J12" s="18">
        <f>COUNTIF(MP_Fev.20!$F$7:$CN$7,MP_Fev.20!$G41)</f>
        <v>0</v>
      </c>
      <c r="K12" s="18">
        <f>COUNTIF(MP_Fev.20!$F$8:$CN$8,MP_Fev.20!$G41)</f>
        <v>0</v>
      </c>
      <c r="L12" s="18">
        <f>COUNTIF(MP_Fev.20!$F$9:$CN$9,MP_Fev.20!$G41)</f>
        <v>0</v>
      </c>
      <c r="M12" s="18">
        <f>COUNTIF(MP_Fev.20!$F$10:$CN$10,MP_Fev.20!$G41)</f>
        <v>0</v>
      </c>
      <c r="N12" s="18">
        <f>COUNTIF(MP_Fev.20!$F$11:$CN$11,MP_Fev.20!$G41)</f>
        <v>0</v>
      </c>
      <c r="O12" s="18">
        <f>COUNTIF(MP_Fev.20!$F$12:$CN$12,MP_Fev.20!$G41)</f>
        <v>0</v>
      </c>
      <c r="P12" s="51" t="s">
        <v>38</v>
      </c>
      <c r="Q12" s="18">
        <f>COUNTIF(MP_Mar.20!$F$7:$CT$7,MP_Mar.20!$G41)</f>
        <v>0</v>
      </c>
      <c r="R12" s="18">
        <f>COUNTIF(MP_Mar.20!$F$8:$CT$8,MP_Mar.20!$G41)</f>
        <v>0</v>
      </c>
      <c r="S12" s="18">
        <f>COUNTIF(MP_Mar.20!$F$9:$CT$9,MP_Mar.20!$G41)</f>
        <v>0</v>
      </c>
      <c r="T12" s="18">
        <f>COUNTIF(MP_Mar.20!$F$10:$CT$10,MP_Mar.20!$G41)</f>
        <v>0</v>
      </c>
      <c r="U12" s="18">
        <f>COUNTIF(MP_Mar.20!$F$11:$CT$11,MP_Mar.20!$G41)</f>
        <v>0</v>
      </c>
      <c r="V12" s="18">
        <f>COUNTIF(MP_Mar.20!$F$12:$CT$12,MP_Mar.20!$G41)</f>
        <v>0</v>
      </c>
      <c r="W12" s="51" t="s">
        <v>38</v>
      </c>
      <c r="X12" s="18">
        <f>COUNTIF(MP_Abr.20!$F$7:$CQ$7,MP_Abr.20!$G41)</f>
        <v>0</v>
      </c>
      <c r="Y12" s="18">
        <f>COUNTIF(MP_Abr.20!$F$8:$CQ$8,MP_Abr.20!$G41)</f>
        <v>0</v>
      </c>
      <c r="Z12" s="18">
        <f>COUNTIF(MP_Abr.20!$F$9:$CQ$9,MP_Abr.20!$G41)</f>
        <v>0</v>
      </c>
      <c r="AA12" s="18">
        <f>COUNTIF(MP_Abr.20!$F$10:$CQ$10,MP_Abr.20!$G41)</f>
        <v>0</v>
      </c>
      <c r="AB12" s="18">
        <f>COUNTIF(MP_Abr.20!$F$11:$CQ$11,MP_Abr.20!$G41)</f>
        <v>0</v>
      </c>
      <c r="AC12" s="18">
        <f>COUNTIF(MP_Abr.20!$F$12:$CQ$12,MP_Abr.20!$G41)</f>
        <v>0</v>
      </c>
      <c r="AD12" s="51" t="s">
        <v>38</v>
      </c>
      <c r="AE12" s="18">
        <f>COUNTIF(MP_Mai.20!$F$7:$CT$7,MP_Mai.20!$G41)</f>
        <v>0</v>
      </c>
      <c r="AF12" s="18">
        <f>COUNTIF(MP_Mai.20!$F$8:$CT$8,MP_Mai.20!$G41)</f>
        <v>0</v>
      </c>
      <c r="AG12" s="18">
        <f>COUNTIF(MP_Mai.20!$F$9:$CT$9,MP_Mai.20!$G41)</f>
        <v>0</v>
      </c>
      <c r="AH12" s="18">
        <f>COUNTIF(MP_Mai.20!$F$10:$CT$10,MP_Mai.20!$G41)</f>
        <v>0</v>
      </c>
      <c r="AI12" s="18">
        <f>COUNTIF(MP_Mai.20!$F$11:$CT$11,MP_Mai.20!$G41)</f>
        <v>0</v>
      </c>
      <c r="AJ12" s="18">
        <f>COUNTIF(MP_Mai.20!$F$12:$CT$12,MP_Mai.20!$G41)</f>
        <v>0</v>
      </c>
      <c r="AK12" s="51" t="s">
        <v>38</v>
      </c>
      <c r="AL12" s="18">
        <f>COUNTIF(MP_Jun.20!$F$7:$CQ$7,MP_Jun.20!$G41)</f>
        <v>0</v>
      </c>
      <c r="AM12" s="18">
        <f>COUNTIF(MP_Jun.20!$F$8:$CQ$8,MP_Jun.20!$G41)</f>
        <v>0</v>
      </c>
      <c r="AN12" s="18">
        <f>COUNTIF(MP_Jun.20!$F$9:$CQ$9,MP_Jun.20!$G41)</f>
        <v>0</v>
      </c>
      <c r="AO12" s="18">
        <f>COUNTIF(MP_Jun.20!$F$10:$CQ$10,MP_Jun.20!$G41)</f>
        <v>0</v>
      </c>
      <c r="AP12" s="18">
        <f>COUNTIF(MP_Jun.20!$F$11:$CQ$11,MP_Jun.20!$G41)</f>
        <v>0</v>
      </c>
      <c r="AQ12" s="18">
        <f>COUNTIF(MP_Jun.20!$F$12:$CQ$12,MP_Jun.20!$G41)</f>
        <v>0</v>
      </c>
      <c r="AR12" s="51" t="s">
        <v>38</v>
      </c>
      <c r="AS12" s="18">
        <f>COUNTIF(MP_Jul.20!$F$7:$CT$7,MP_Jul.20!$G41)</f>
        <v>0</v>
      </c>
      <c r="AT12" s="18">
        <f>COUNTIF(MP_Jul.20!$F$8:$CT$8,MP_Jul.20!$G41)</f>
        <v>0</v>
      </c>
      <c r="AU12" s="18">
        <f>COUNTIF(MP_Jul.20!$F$9:$CT$9,MP_Jul.20!$G41)</f>
        <v>0</v>
      </c>
      <c r="AV12" s="18">
        <f>COUNTIF(MP_Jul.20!$F$10:$CT$10,MP_Jul.20!$G41)</f>
        <v>0</v>
      </c>
      <c r="AW12" s="18">
        <f>COUNTIF(MP_Jul.20!$F$11:$CT$11,MP_Jul.20!$G41)</f>
        <v>0</v>
      </c>
      <c r="AX12" s="18">
        <f>COUNTIF(MP_Jul.20!$F$12:$CT$12,MP_Jul.20!$G41)</f>
        <v>0</v>
      </c>
      <c r="AY12" s="51" t="s">
        <v>38</v>
      </c>
      <c r="AZ12" s="18">
        <f>COUNTIF(MP_Ago.20!$F$7:$CT$7,MP_Ago.20!$G41)</f>
        <v>0</v>
      </c>
      <c r="BA12" s="18">
        <f>COUNTIF(MP_Ago.20!$F$8:$CT$8,MP_Ago.20!$G41)</f>
        <v>0</v>
      </c>
      <c r="BB12" s="18">
        <f>COUNTIF(MP_Ago.20!$F$9:$CT$9,MP_Ago.20!$G41)</f>
        <v>0</v>
      </c>
      <c r="BC12" s="18">
        <f>COUNTIF(MP_Ago.20!$F$10:$CT$10,MP_Ago.20!$G41)</f>
        <v>0</v>
      </c>
      <c r="BD12" s="18">
        <f>COUNTIF(MP_Ago.20!$F$11:$CT$11,MP_Ago.20!$G41)</f>
        <v>0</v>
      </c>
      <c r="BE12" s="18">
        <f>COUNTIF(MP_Ago.20!$F$12:$CT$12,MP_Ago.20!$G41)</f>
        <v>0</v>
      </c>
      <c r="BF12" s="51" t="s">
        <v>38</v>
      </c>
      <c r="BG12" s="18">
        <f>COUNTIF(MP_Set.20!$F$7:$CQ$7,MP_Set.20!$G41)</f>
        <v>0</v>
      </c>
      <c r="BH12" s="18">
        <f>COUNTIF(MP_Set.20!$F$8:$CQ$8,MP_Set.20!$G41)</f>
        <v>0</v>
      </c>
      <c r="BI12" s="18">
        <f>COUNTIF(MP_Set.20!$F$9:$CQ$9,MP_Set.20!$G41)</f>
        <v>0</v>
      </c>
      <c r="BJ12" s="18">
        <f>COUNTIF(MP_Set.20!$F$10:$CQ$10,MP_Set.20!$G41)</f>
        <v>0</v>
      </c>
      <c r="BK12" s="18">
        <f>COUNTIF(MP_Set.20!$F$11:$CQ$11,MP_Set.20!$G41)</f>
        <v>0</v>
      </c>
      <c r="BL12" s="18">
        <f>COUNTIF(MP_Set.20!$F$12:$CQ$12,MP_Set.20!$G41)</f>
        <v>0</v>
      </c>
      <c r="BM12" s="51" t="s">
        <v>38</v>
      </c>
      <c r="BN12" s="18">
        <f>COUNTIF(MP_Out.20!$F$7:$CT$7,MP_Out.20!$G41)</f>
        <v>0</v>
      </c>
      <c r="BO12" s="18">
        <f>COUNTIF(MP_Out.20!$F$8:$CT$8,MP_Out.20!$G41)</f>
        <v>0</v>
      </c>
      <c r="BP12" s="18">
        <f>COUNTIF(MP_Out.20!$F$9:$CT$9,MP_Out.20!$G41)</f>
        <v>0</v>
      </c>
      <c r="BQ12" s="18">
        <f>COUNTIF(MP_Out.20!$F$10:$CT$10,MP_Out.20!$G41)</f>
        <v>0</v>
      </c>
      <c r="BR12" s="18">
        <f>COUNTIF(MP_Out.20!$F$11:$CT$11,MP_Out.20!$G41)</f>
        <v>0</v>
      </c>
      <c r="BS12" s="18">
        <f>COUNTIF(MP_Out.20!$F$12:$CT$12,MP_Out.20!$G41)</f>
        <v>0</v>
      </c>
      <c r="BT12" s="51" t="s">
        <v>38</v>
      </c>
      <c r="BU12" s="18">
        <f>COUNTIF(MP_Nov.20!$F$7:$CQ$7,MP_Nov.20!$G41)</f>
        <v>0</v>
      </c>
      <c r="BV12" s="18">
        <f>COUNTIF(MP_Nov.20!$F$8:$CQ$8,MP_Nov.20!$G41)</f>
        <v>0</v>
      </c>
      <c r="BW12" s="18">
        <f>COUNTIF(MP_Nov.20!$F$9:$CQ$9,MP_Nov.20!$G41)</f>
        <v>0</v>
      </c>
      <c r="BX12" s="18">
        <f>COUNTIF(MP_Nov.20!$F$10:$CQ$10,MP_Nov.20!$G41)</f>
        <v>0</v>
      </c>
      <c r="BY12" s="18">
        <f>COUNTIF(MP_Nov.20!$F$11:$CQ$11,MP_Nov.20!$G41)</f>
        <v>0</v>
      </c>
      <c r="BZ12" s="18">
        <f>COUNTIF(MP_Nov.20!$F$12:$CQ$12,MP_Nov.20!$G41)</f>
        <v>0</v>
      </c>
      <c r="CA12" s="51" t="s">
        <v>38</v>
      </c>
      <c r="CB12" s="18">
        <f>COUNTIF(MP_Dez.20!$F$7:$CT$7,MP_Dez.20!$G41)</f>
        <v>0</v>
      </c>
      <c r="CC12" s="18">
        <f>COUNTIF(MP_Dez.20!$F$8:$CT$8,MP_Dez.20!$G41)</f>
        <v>0</v>
      </c>
      <c r="CD12" s="18">
        <f>COUNTIF(MP_Dez.20!$F$9:$CT$9,MP_Dez.20!$G41)</f>
        <v>0</v>
      </c>
      <c r="CE12" s="18">
        <f>COUNTIF(MP_Dez.20!$F$10:$CT$10,MP_Dez.20!$G41)</f>
        <v>0</v>
      </c>
      <c r="CF12" s="18">
        <f>COUNTIF(MP_Dez.20!$F$11:$CT$11,MP_Dez.20!$G41)</f>
        <v>0</v>
      </c>
      <c r="CG12" s="18">
        <f>COUNTIF(MP_Dez.20!$F$12:$CT$12,MP_Dez.20!$G41)</f>
        <v>0</v>
      </c>
    </row>
    <row r="13" spans="2:85" hidden="1" x14ac:dyDescent="0.25">
      <c r="B13" s="20" t="s">
        <v>37</v>
      </c>
      <c r="C13" s="18">
        <f>COUNTIF(MP_Jan.20!$F$7:$CT$7,MP_Jan.20!$G42)</f>
        <v>0</v>
      </c>
      <c r="D13" s="18">
        <f>COUNTIF(MP_Jan.20!$F$8:$CT$8,MP_Jan.20!$G42)</f>
        <v>0</v>
      </c>
      <c r="E13" s="18">
        <f>COUNTIF(MP_Jan.20!$F$9:$CT$9,MP_Jan.20!$G42)</f>
        <v>0</v>
      </c>
      <c r="F13" s="18">
        <f>COUNTIF(MP_Jan.20!$F$10:$CT$10,MP_Jan.20!$G42)</f>
        <v>0</v>
      </c>
      <c r="G13" s="18">
        <f>COUNTIF(MP_Jan.20!$F$11:$CT$11,MP_Jan.20!$G42)</f>
        <v>0</v>
      </c>
      <c r="H13" s="18">
        <f>COUNTIF(MP_Jan.20!$F$12:$CT$12,MP_Jan.20!$G42)</f>
        <v>0</v>
      </c>
      <c r="I13" s="51" t="s">
        <v>37</v>
      </c>
      <c r="J13" s="18">
        <f>COUNTIF(MP_Fev.20!$F$7:$CN$7,MP_Fev.20!$G42)</f>
        <v>0</v>
      </c>
      <c r="K13" s="18">
        <f>COUNTIF(MP_Fev.20!$F$8:$CN$8,MP_Fev.20!$G42)</f>
        <v>0</v>
      </c>
      <c r="L13" s="18">
        <f>COUNTIF(MP_Fev.20!$F$9:$CN$9,MP_Fev.20!$G42)</f>
        <v>0</v>
      </c>
      <c r="M13" s="18">
        <f>COUNTIF(MP_Fev.20!$F$10:$CN$10,MP_Fev.20!$G42)</f>
        <v>0</v>
      </c>
      <c r="N13" s="18">
        <f>COUNTIF(MP_Fev.20!$F$11:$CN$11,MP_Fev.20!$G42)</f>
        <v>0</v>
      </c>
      <c r="O13" s="18">
        <f>COUNTIF(MP_Fev.20!$F$12:$CN$12,MP_Fev.20!$G42)</f>
        <v>0</v>
      </c>
      <c r="P13" s="51" t="s">
        <v>37</v>
      </c>
      <c r="Q13" s="18">
        <f>COUNTIF(MP_Mar.20!$F$7:$CT$7,MP_Mar.20!$G42)</f>
        <v>0</v>
      </c>
      <c r="R13" s="18">
        <f>COUNTIF(MP_Mar.20!$F$8:$CT$8,MP_Mar.20!$G42)</f>
        <v>0</v>
      </c>
      <c r="S13" s="18">
        <f>COUNTIF(MP_Mar.20!$F$9:$CT$9,MP_Mar.20!$G42)</f>
        <v>0</v>
      </c>
      <c r="T13" s="18">
        <f>COUNTIF(MP_Mar.20!$F$10:$CT$10,MP_Mar.20!$G42)</f>
        <v>0</v>
      </c>
      <c r="U13" s="18">
        <f>COUNTIF(MP_Mar.20!$F$11:$CT$11,MP_Mar.20!$G42)</f>
        <v>0</v>
      </c>
      <c r="V13" s="18">
        <f>COUNTIF(MP_Mar.20!$F$12:$CT$12,MP_Mar.20!$G42)</f>
        <v>0</v>
      </c>
      <c r="W13" s="51" t="s">
        <v>37</v>
      </c>
      <c r="X13" s="18">
        <f>COUNTIF(MP_Abr.20!$F$7:$CQ$7,MP_Abr.20!$G42)</f>
        <v>0</v>
      </c>
      <c r="Y13" s="18">
        <f>COUNTIF(MP_Abr.20!$F$8:$CQ$8,MP_Abr.20!$G42)</f>
        <v>0</v>
      </c>
      <c r="Z13" s="18">
        <f>COUNTIF(MP_Abr.20!$F$9:$CQ$9,MP_Abr.20!$G42)</f>
        <v>0</v>
      </c>
      <c r="AA13" s="18">
        <f>COUNTIF(MP_Abr.20!$F$10:$CQ$10,MP_Abr.20!$G42)</f>
        <v>0</v>
      </c>
      <c r="AB13" s="18">
        <f>COUNTIF(MP_Abr.20!$F$11:$CQ$11,MP_Abr.20!$G42)</f>
        <v>0</v>
      </c>
      <c r="AC13" s="18">
        <f>COUNTIF(MP_Abr.20!$F$12:$CQ$12,MP_Abr.20!$G42)</f>
        <v>0</v>
      </c>
      <c r="AD13" s="51" t="s">
        <v>37</v>
      </c>
      <c r="AE13" s="18">
        <f>COUNTIF(MP_Mai.20!$F$7:$CT$7,MP_Mai.20!$G42)</f>
        <v>0</v>
      </c>
      <c r="AF13" s="18">
        <f>COUNTIF(MP_Mai.20!$F$8:$CT$8,MP_Mai.20!$G42)</f>
        <v>0</v>
      </c>
      <c r="AG13" s="18">
        <f>COUNTIF(MP_Mai.20!$F$9:$CT$9,MP_Mai.20!$G42)</f>
        <v>0</v>
      </c>
      <c r="AH13" s="18">
        <f>COUNTIF(MP_Mai.20!$F$10:$CT$10,MP_Mai.20!$G42)</f>
        <v>0</v>
      </c>
      <c r="AI13" s="18">
        <f>COUNTIF(MP_Mai.20!$F$11:$CT$11,MP_Mai.20!$G42)</f>
        <v>0</v>
      </c>
      <c r="AJ13" s="18">
        <f>COUNTIF(MP_Mai.20!$F$12:$CT$12,MP_Mai.20!$G42)</f>
        <v>0</v>
      </c>
      <c r="AK13" s="51" t="s">
        <v>37</v>
      </c>
      <c r="AL13" s="18">
        <f>COUNTIF(MP_Jun.20!$F$7:$CQ$7,MP_Jun.20!$G42)</f>
        <v>0</v>
      </c>
      <c r="AM13" s="18">
        <f>COUNTIF(MP_Jun.20!$F$8:$CQ$8,MP_Jun.20!$G42)</f>
        <v>0</v>
      </c>
      <c r="AN13" s="18">
        <f>COUNTIF(MP_Jun.20!$F$9:$CQ$9,MP_Jun.20!$G42)</f>
        <v>0</v>
      </c>
      <c r="AO13" s="18">
        <f>COUNTIF(MP_Jun.20!$F$10:$CQ$10,MP_Jun.20!$G42)</f>
        <v>0</v>
      </c>
      <c r="AP13" s="18">
        <f>COUNTIF(MP_Jun.20!$F$11:$CQ$11,MP_Jun.20!$G42)</f>
        <v>0</v>
      </c>
      <c r="AQ13" s="18">
        <f>COUNTIF(MP_Jun.20!$F$12:$CQ$12,MP_Jun.20!$G42)</f>
        <v>0</v>
      </c>
      <c r="AR13" s="51" t="s">
        <v>37</v>
      </c>
      <c r="AS13" s="18">
        <f>COUNTIF(MP_Jul.20!$F$7:$CT$7,MP_Jul.20!$G42)</f>
        <v>0</v>
      </c>
      <c r="AT13" s="18">
        <f>COUNTIF(MP_Jul.20!$F$8:$CT$8,MP_Jul.20!$G42)</f>
        <v>0</v>
      </c>
      <c r="AU13" s="18">
        <f>COUNTIF(MP_Jul.20!$F$9:$CT$9,MP_Jul.20!$G42)</f>
        <v>0</v>
      </c>
      <c r="AV13" s="18">
        <f>COUNTIF(MP_Jul.20!$F$10:$CT$10,MP_Jul.20!$G42)</f>
        <v>0</v>
      </c>
      <c r="AW13" s="18">
        <f>COUNTIF(MP_Jul.20!$F$11:$CT$11,MP_Jul.20!$G42)</f>
        <v>0</v>
      </c>
      <c r="AX13" s="18">
        <f>COUNTIF(MP_Jul.20!$F$12:$CT$12,MP_Jul.20!$G42)</f>
        <v>0</v>
      </c>
      <c r="AY13" s="51" t="s">
        <v>37</v>
      </c>
      <c r="AZ13" s="18">
        <f>COUNTIF(MP_Ago.20!$F$7:$CT$7,MP_Ago.20!$G42)</f>
        <v>0</v>
      </c>
      <c r="BA13" s="18">
        <f>COUNTIF(MP_Ago.20!$F$8:$CT$8,MP_Ago.20!$G42)</f>
        <v>0</v>
      </c>
      <c r="BB13" s="18">
        <f>COUNTIF(MP_Ago.20!$F$9:$CT$9,MP_Ago.20!$G42)</f>
        <v>0</v>
      </c>
      <c r="BC13" s="18">
        <f>COUNTIF(MP_Ago.20!$F$10:$CT$10,MP_Ago.20!$G42)</f>
        <v>0</v>
      </c>
      <c r="BD13" s="18">
        <f>COUNTIF(MP_Ago.20!$F$11:$CT$11,MP_Ago.20!$G42)</f>
        <v>0</v>
      </c>
      <c r="BE13" s="18">
        <f>COUNTIF(MP_Ago.20!$F$12:$CT$12,MP_Ago.20!$G42)</f>
        <v>0</v>
      </c>
      <c r="BF13" s="51" t="s">
        <v>37</v>
      </c>
      <c r="BG13" s="18">
        <f>COUNTIF(MP_Set.20!$F$7:$CQ$7,MP_Set.20!$G42)</f>
        <v>0</v>
      </c>
      <c r="BH13" s="18">
        <f>COUNTIF(MP_Set.20!$F$8:$CQ$8,MP_Set.20!$G42)</f>
        <v>0</v>
      </c>
      <c r="BI13" s="18">
        <f>COUNTIF(MP_Set.20!$F$9:$CQ$9,MP_Set.20!$G42)</f>
        <v>0</v>
      </c>
      <c r="BJ13" s="18">
        <f>COUNTIF(MP_Set.20!$F$10:$CQ$10,MP_Set.20!$G42)</f>
        <v>0</v>
      </c>
      <c r="BK13" s="18">
        <f>COUNTIF(MP_Set.20!$F$11:$CQ$11,MP_Set.20!$G42)</f>
        <v>0</v>
      </c>
      <c r="BL13" s="18">
        <f>COUNTIF(MP_Set.20!$F$12:$CQ$12,MP_Set.20!$G42)</f>
        <v>0</v>
      </c>
      <c r="BM13" s="51" t="s">
        <v>37</v>
      </c>
      <c r="BN13" s="18">
        <f>COUNTIF(MP_Out.20!$F$7:$CT$7,MP_Out.20!$G42)</f>
        <v>0</v>
      </c>
      <c r="BO13" s="18">
        <f>COUNTIF(MP_Out.20!$F$8:$CT$8,MP_Out.20!$G42)</f>
        <v>0</v>
      </c>
      <c r="BP13" s="18">
        <f>COUNTIF(MP_Out.20!$F$9:$CT$9,MP_Out.20!$G42)</f>
        <v>0</v>
      </c>
      <c r="BQ13" s="18">
        <f>COUNTIF(MP_Out.20!$F$10:$CT$10,MP_Out.20!$G42)</f>
        <v>0</v>
      </c>
      <c r="BR13" s="18">
        <f>COUNTIF(MP_Out.20!$F$11:$CT$11,MP_Out.20!$G42)</f>
        <v>0</v>
      </c>
      <c r="BS13" s="18">
        <f>COUNTIF(MP_Out.20!$F$12:$CT$12,MP_Out.20!$G42)</f>
        <v>0</v>
      </c>
      <c r="BT13" s="51" t="s">
        <v>37</v>
      </c>
      <c r="BU13" s="18">
        <f>COUNTIF(MP_Nov.20!$F$7:$CQ$7,MP_Nov.20!$G42)</f>
        <v>0</v>
      </c>
      <c r="BV13" s="18">
        <f>COUNTIF(MP_Nov.20!$F$8:$CQ$8,MP_Nov.20!$G42)</f>
        <v>0</v>
      </c>
      <c r="BW13" s="18">
        <f>COUNTIF(MP_Nov.20!$F$9:$CQ$9,MP_Nov.20!$G42)</f>
        <v>0</v>
      </c>
      <c r="BX13" s="18">
        <f>COUNTIF(MP_Nov.20!$F$10:$CQ$10,MP_Nov.20!$G42)</f>
        <v>0</v>
      </c>
      <c r="BY13" s="18">
        <f>COUNTIF(MP_Nov.20!$F$11:$CQ$11,MP_Nov.20!$G42)</f>
        <v>0</v>
      </c>
      <c r="BZ13" s="18">
        <f>COUNTIF(MP_Nov.20!$F$12:$CQ$12,MP_Nov.20!$G42)</f>
        <v>0</v>
      </c>
      <c r="CA13" s="51" t="s">
        <v>37</v>
      </c>
      <c r="CB13" s="18">
        <f>COUNTIF(MP_Dez.20!$F$7:$CT$7,MP_Dez.20!$G42)</f>
        <v>0</v>
      </c>
      <c r="CC13" s="18">
        <f>COUNTIF(MP_Dez.20!$F$8:$CT$8,MP_Dez.20!$G42)</f>
        <v>0</v>
      </c>
      <c r="CD13" s="18">
        <f>COUNTIF(MP_Dez.20!$F$9:$CT$9,MP_Dez.20!$G42)</f>
        <v>0</v>
      </c>
      <c r="CE13" s="18">
        <f>COUNTIF(MP_Dez.20!$F$10:$CT$10,MP_Dez.20!$G42)</f>
        <v>0</v>
      </c>
      <c r="CF13" s="18">
        <f>COUNTIF(MP_Dez.20!$F$11:$CT$11,MP_Dez.20!$G42)</f>
        <v>0</v>
      </c>
      <c r="CG13" s="18">
        <f>COUNTIF(MP_Dez.20!$F$12:$CT$12,MP_Dez.20!$G42)</f>
        <v>0</v>
      </c>
    </row>
    <row r="14" spans="2:85" hidden="1" x14ac:dyDescent="0.25">
      <c r="B14" s="20" t="s">
        <v>27</v>
      </c>
      <c r="C14" s="18">
        <f>COUNTIF(MP_Jan.20!$F$7:$CT$7,MP_Jan.20!$G43)</f>
        <v>0</v>
      </c>
      <c r="D14" s="18">
        <f>COUNTIF(MP_Jan.20!$F$8:$CT$8,MP_Jan.20!$G43)</f>
        <v>0</v>
      </c>
      <c r="E14" s="18">
        <f>COUNTIF(MP_Jan.20!$F$9:$CT$9,MP_Jan.20!$G43)</f>
        <v>0</v>
      </c>
      <c r="F14" s="18">
        <f>COUNTIF(MP_Jan.20!$F$10:$CT$10,MP_Jan.20!$G43)</f>
        <v>0</v>
      </c>
      <c r="G14" s="18">
        <f>COUNTIF(MP_Jan.20!$F$11:$CT$11,MP_Jan.20!$G43)</f>
        <v>0</v>
      </c>
      <c r="H14" s="18">
        <f>COUNTIF(MP_Jan.20!$F$12:$CT$12,MP_Jan.20!$G43)</f>
        <v>0</v>
      </c>
      <c r="I14" s="51" t="s">
        <v>27</v>
      </c>
      <c r="J14" s="18">
        <f>COUNTIF(MP_Fev.20!$F$7:$CN$7,MP_Fev.20!$G43)</f>
        <v>0</v>
      </c>
      <c r="K14" s="18">
        <f>COUNTIF(MP_Fev.20!$F$8:$CN$8,MP_Fev.20!$G43)</f>
        <v>0</v>
      </c>
      <c r="L14" s="18">
        <f>COUNTIF(MP_Fev.20!$F$9:$CN$9,MP_Fev.20!$G43)</f>
        <v>0</v>
      </c>
      <c r="M14" s="18">
        <f>COUNTIF(MP_Fev.20!$F$10:$CN$10,MP_Fev.20!$G43)</f>
        <v>0</v>
      </c>
      <c r="N14" s="18">
        <f>COUNTIF(MP_Fev.20!$F$11:$CN$11,MP_Fev.20!$G43)</f>
        <v>0</v>
      </c>
      <c r="O14" s="18">
        <f>COUNTIF(MP_Fev.20!$F$12:$CN$12,MP_Fev.20!$G43)</f>
        <v>0</v>
      </c>
      <c r="P14" s="51" t="s">
        <v>27</v>
      </c>
      <c r="Q14" s="18">
        <f>COUNTIF(MP_Mar.20!$F$7:$CT$7,MP_Mar.20!$G43)</f>
        <v>0</v>
      </c>
      <c r="R14" s="18">
        <f>COUNTIF(MP_Mar.20!$F$8:$CT$8,MP_Mar.20!$G43)</f>
        <v>0</v>
      </c>
      <c r="S14" s="18">
        <f>COUNTIF(MP_Mar.20!$F$9:$CT$9,MP_Mar.20!$G43)</f>
        <v>0</v>
      </c>
      <c r="T14" s="18">
        <f>COUNTIF(MP_Mar.20!$F$10:$CT$10,MP_Mar.20!$G43)</f>
        <v>0</v>
      </c>
      <c r="U14" s="18">
        <f>COUNTIF(MP_Mar.20!$F$11:$CT$11,MP_Mar.20!$G43)</f>
        <v>0</v>
      </c>
      <c r="V14" s="18">
        <f>COUNTIF(MP_Mar.20!$F$12:$CT$12,MP_Mar.20!$G43)</f>
        <v>0</v>
      </c>
      <c r="W14" s="51" t="s">
        <v>27</v>
      </c>
      <c r="X14" s="18">
        <f>COUNTIF(MP_Abr.20!$F$7:$CQ$7,MP_Abr.20!$G43)</f>
        <v>0</v>
      </c>
      <c r="Y14" s="18">
        <f>COUNTIF(MP_Abr.20!$F$8:$CQ$8,MP_Abr.20!$G43)</f>
        <v>0</v>
      </c>
      <c r="Z14" s="18">
        <f>COUNTIF(MP_Abr.20!$F$9:$CQ$9,MP_Abr.20!$G43)</f>
        <v>0</v>
      </c>
      <c r="AA14" s="18">
        <f>COUNTIF(MP_Abr.20!$F$10:$CQ$10,MP_Abr.20!$G43)</f>
        <v>0</v>
      </c>
      <c r="AB14" s="18">
        <f>COUNTIF(MP_Abr.20!$F$11:$CQ$11,MP_Abr.20!$G43)</f>
        <v>0</v>
      </c>
      <c r="AC14" s="18">
        <f>COUNTIF(MP_Abr.20!$F$12:$CQ$12,MP_Abr.20!$G43)</f>
        <v>0</v>
      </c>
      <c r="AD14" s="51" t="s">
        <v>27</v>
      </c>
      <c r="AE14" s="18">
        <f>COUNTIF(MP_Mai.20!$F$7:$CT$7,MP_Mai.20!$G43)</f>
        <v>0</v>
      </c>
      <c r="AF14" s="18">
        <f>COUNTIF(MP_Mai.20!$F$8:$CT$8,MP_Mai.20!$G43)</f>
        <v>0</v>
      </c>
      <c r="AG14" s="18">
        <f>COUNTIF(MP_Mai.20!$F$9:$CT$9,MP_Mai.20!$G43)</f>
        <v>0</v>
      </c>
      <c r="AH14" s="18">
        <f>COUNTIF(MP_Mai.20!$F$10:$CT$10,MP_Mai.20!$G43)</f>
        <v>0</v>
      </c>
      <c r="AI14" s="18">
        <f>COUNTIF(MP_Mai.20!$F$11:$CT$11,MP_Mai.20!$G43)</f>
        <v>0</v>
      </c>
      <c r="AJ14" s="18">
        <f>COUNTIF(MP_Mai.20!$F$12:$CT$12,MP_Mai.20!$G43)</f>
        <v>0</v>
      </c>
      <c r="AK14" s="51" t="s">
        <v>27</v>
      </c>
      <c r="AL14" s="18">
        <f>COUNTIF(MP_Jun.20!$F$7:$CQ$7,MP_Jun.20!$G43)</f>
        <v>0</v>
      </c>
      <c r="AM14" s="18">
        <f>COUNTIF(MP_Jun.20!$F$8:$CQ$8,MP_Jun.20!$G43)</f>
        <v>0</v>
      </c>
      <c r="AN14" s="18">
        <f>COUNTIF(MP_Jun.20!$F$9:$CQ$9,MP_Jun.20!$G43)</f>
        <v>0</v>
      </c>
      <c r="AO14" s="18">
        <f>COUNTIF(MP_Jun.20!$F$10:$CQ$10,MP_Jun.20!$G43)</f>
        <v>0</v>
      </c>
      <c r="AP14" s="18">
        <f>COUNTIF(MP_Jun.20!$F$11:$CQ$11,MP_Jun.20!$G43)</f>
        <v>0</v>
      </c>
      <c r="AQ14" s="18">
        <f>COUNTIF(MP_Jun.20!$F$12:$CQ$12,MP_Jun.20!$G43)</f>
        <v>0</v>
      </c>
      <c r="AR14" s="51" t="s">
        <v>27</v>
      </c>
      <c r="AS14" s="18">
        <f>COUNTIF(MP_Jul.20!$F$7:$CT$7,MP_Jul.20!$G43)</f>
        <v>0</v>
      </c>
      <c r="AT14" s="18">
        <f>COUNTIF(MP_Jul.20!$F$8:$CT$8,MP_Jul.20!$G43)</f>
        <v>0</v>
      </c>
      <c r="AU14" s="18">
        <f>COUNTIF(MP_Jul.20!$F$9:$CT$9,MP_Jul.20!$G43)</f>
        <v>0</v>
      </c>
      <c r="AV14" s="18">
        <f>COUNTIF(MP_Jul.20!$F$10:$CT$10,MP_Jul.20!$G43)</f>
        <v>0</v>
      </c>
      <c r="AW14" s="18">
        <f>COUNTIF(MP_Jul.20!$F$11:$CT$11,MP_Jul.20!$G43)</f>
        <v>0</v>
      </c>
      <c r="AX14" s="18">
        <f>COUNTIF(MP_Jul.20!$F$12:$CT$12,MP_Jul.20!$G43)</f>
        <v>0</v>
      </c>
      <c r="AY14" s="51" t="s">
        <v>27</v>
      </c>
      <c r="AZ14" s="18">
        <f>COUNTIF(MP_Ago.20!$F$7:$CT$7,MP_Ago.20!$G43)</f>
        <v>0</v>
      </c>
      <c r="BA14" s="18">
        <f>COUNTIF(MP_Ago.20!$F$8:$CT$8,MP_Ago.20!$G43)</f>
        <v>0</v>
      </c>
      <c r="BB14" s="18">
        <f>COUNTIF(MP_Ago.20!$F$9:$CT$9,MP_Ago.20!$G43)</f>
        <v>0</v>
      </c>
      <c r="BC14" s="18">
        <f>COUNTIF(MP_Ago.20!$F$10:$CT$10,MP_Ago.20!$G43)</f>
        <v>0</v>
      </c>
      <c r="BD14" s="18">
        <f>COUNTIF(MP_Ago.20!$F$11:$CT$11,MP_Ago.20!$G43)</f>
        <v>0</v>
      </c>
      <c r="BE14" s="18">
        <f>COUNTIF(MP_Ago.20!$F$12:$CT$12,MP_Ago.20!$G43)</f>
        <v>0</v>
      </c>
      <c r="BF14" s="51" t="s">
        <v>27</v>
      </c>
      <c r="BG14" s="18">
        <f>COUNTIF(MP_Set.20!$F$7:$CQ$7,MP_Set.20!$G43)</f>
        <v>0</v>
      </c>
      <c r="BH14" s="18">
        <f>COUNTIF(MP_Set.20!$F$8:$CQ$8,MP_Set.20!$G43)</f>
        <v>0</v>
      </c>
      <c r="BI14" s="18">
        <f>COUNTIF(MP_Set.20!$F$9:$CQ$9,MP_Set.20!$G43)</f>
        <v>0</v>
      </c>
      <c r="BJ14" s="18">
        <f>COUNTIF(MP_Set.20!$F$10:$CQ$10,MP_Set.20!$G43)</f>
        <v>0</v>
      </c>
      <c r="BK14" s="18">
        <f>COUNTIF(MP_Set.20!$F$11:$CQ$11,MP_Set.20!$G43)</f>
        <v>0</v>
      </c>
      <c r="BL14" s="18">
        <f>COUNTIF(MP_Set.20!$F$12:$CQ$12,MP_Set.20!$G43)</f>
        <v>0</v>
      </c>
      <c r="BM14" s="51" t="s">
        <v>27</v>
      </c>
      <c r="BN14" s="18">
        <f>COUNTIF(MP_Out.20!$F$7:$CT$7,MP_Out.20!$G43)</f>
        <v>0</v>
      </c>
      <c r="BO14" s="18">
        <f>COUNTIF(MP_Out.20!$F$8:$CT$8,MP_Out.20!$G43)</f>
        <v>0</v>
      </c>
      <c r="BP14" s="18">
        <f>COUNTIF(MP_Out.20!$F$9:$CT$9,MP_Out.20!$G43)</f>
        <v>0</v>
      </c>
      <c r="BQ14" s="18">
        <f>COUNTIF(MP_Out.20!$F$10:$CT$10,MP_Out.20!$G43)</f>
        <v>0</v>
      </c>
      <c r="BR14" s="18">
        <f>COUNTIF(MP_Out.20!$F$11:$CT$11,MP_Out.20!$G43)</f>
        <v>0</v>
      </c>
      <c r="BS14" s="18">
        <f>COUNTIF(MP_Out.20!$F$12:$CT$12,MP_Out.20!$G43)</f>
        <v>0</v>
      </c>
      <c r="BT14" s="51" t="s">
        <v>27</v>
      </c>
      <c r="BU14" s="18">
        <f>COUNTIF(MP_Nov.20!$F$7:$CQ$7,MP_Nov.20!$G43)</f>
        <v>0</v>
      </c>
      <c r="BV14" s="18">
        <f>COUNTIF(MP_Nov.20!$F$8:$CQ$8,MP_Nov.20!$G43)</f>
        <v>0</v>
      </c>
      <c r="BW14" s="18">
        <f>COUNTIF(MP_Nov.20!$F$9:$CQ$9,MP_Nov.20!$G43)</f>
        <v>0</v>
      </c>
      <c r="BX14" s="18">
        <f>COUNTIF(MP_Nov.20!$F$10:$CQ$10,MP_Nov.20!$G43)</f>
        <v>0</v>
      </c>
      <c r="BY14" s="18">
        <f>COUNTIF(MP_Nov.20!$F$11:$CQ$11,MP_Nov.20!$G43)</f>
        <v>0</v>
      </c>
      <c r="BZ14" s="18">
        <f>COUNTIF(MP_Nov.20!$F$12:$CQ$12,MP_Nov.20!$G43)</f>
        <v>0</v>
      </c>
      <c r="CA14" s="51" t="s">
        <v>27</v>
      </c>
      <c r="CB14" s="18">
        <f>COUNTIF(MP_Dez.20!$F$7:$CT$7,MP_Dez.20!$G43)</f>
        <v>0</v>
      </c>
      <c r="CC14" s="18">
        <f>COUNTIF(MP_Dez.20!$F$8:$CT$8,MP_Dez.20!$G43)</f>
        <v>0</v>
      </c>
      <c r="CD14" s="18">
        <f>COUNTIF(MP_Dez.20!$F$9:$CT$9,MP_Dez.20!$G43)</f>
        <v>0</v>
      </c>
      <c r="CE14" s="18">
        <f>COUNTIF(MP_Dez.20!$F$10:$CT$10,MP_Dez.20!$G43)</f>
        <v>0</v>
      </c>
      <c r="CF14" s="18">
        <f>COUNTIF(MP_Dez.20!$F$11:$CT$11,MP_Dez.20!$G43)</f>
        <v>0</v>
      </c>
      <c r="CG14" s="18">
        <f>COUNTIF(MP_Dez.20!$F$12:$CT$12,MP_Dez.20!$G43)</f>
        <v>0</v>
      </c>
    </row>
    <row r="15" spans="2:85" hidden="1" x14ac:dyDescent="0.25">
      <c r="B15" s="20" t="s">
        <v>18</v>
      </c>
      <c r="C15" s="18">
        <f>COUNTIF(MP_Jan.20!$F$7:$CT$7,MP_Jan.20!$G44)</f>
        <v>0</v>
      </c>
      <c r="D15" s="18">
        <f>COUNTIF(MP_Jan.20!$F$8:$CT$8,MP_Jan.20!$G44)</f>
        <v>0</v>
      </c>
      <c r="E15" s="18">
        <f>COUNTIF(MP_Jan.20!$F$9:$CT$9,MP_Jan.20!$G44)</f>
        <v>0</v>
      </c>
      <c r="F15" s="18">
        <f>COUNTIF(MP_Jan.20!$F$10:$CT$10,MP_Jan.20!$G44)</f>
        <v>0</v>
      </c>
      <c r="G15" s="18">
        <f>COUNTIF(MP_Jan.20!$F$11:$CT$11,MP_Jan.20!$G44)</f>
        <v>0</v>
      </c>
      <c r="H15" s="18">
        <f>COUNTIF(MP_Jan.20!$F$12:$CT$12,MP_Jan.20!$G44)</f>
        <v>0</v>
      </c>
      <c r="I15" s="51" t="s">
        <v>18</v>
      </c>
      <c r="J15" s="18">
        <f>COUNTIF(MP_Fev.20!$F$7:$CN$7,MP_Fev.20!$G44)</f>
        <v>0</v>
      </c>
      <c r="K15" s="18">
        <f>COUNTIF(MP_Fev.20!$F$8:$CN$8,MP_Fev.20!$G44)</f>
        <v>0</v>
      </c>
      <c r="L15" s="18">
        <f>COUNTIF(MP_Fev.20!$F$9:$CN$9,MP_Fev.20!$G44)</f>
        <v>0</v>
      </c>
      <c r="M15" s="18">
        <f>COUNTIF(MP_Fev.20!$F$10:$CN$10,MP_Fev.20!$G44)</f>
        <v>0</v>
      </c>
      <c r="N15" s="18">
        <f>COUNTIF(MP_Fev.20!$F$11:$CN$11,MP_Fev.20!$G44)</f>
        <v>0</v>
      </c>
      <c r="O15" s="18">
        <f>COUNTIF(MP_Fev.20!$F$12:$CN$12,MP_Fev.20!$G44)</f>
        <v>0</v>
      </c>
      <c r="P15" s="51" t="s">
        <v>18</v>
      </c>
      <c r="Q15" s="18">
        <f>COUNTIF(MP_Mar.20!$F$7:$CT$7,MP_Mar.20!$G44)</f>
        <v>0</v>
      </c>
      <c r="R15" s="18">
        <f>COUNTIF(MP_Mar.20!$F$8:$CT$8,MP_Mar.20!$G44)</f>
        <v>0</v>
      </c>
      <c r="S15" s="18">
        <f>COUNTIF(MP_Mar.20!$F$9:$CT$9,MP_Mar.20!$G44)</f>
        <v>0</v>
      </c>
      <c r="T15" s="18">
        <f>COUNTIF(MP_Mar.20!$F$10:$CT$10,MP_Mar.20!$G44)</f>
        <v>0</v>
      </c>
      <c r="U15" s="18">
        <f>COUNTIF(MP_Mar.20!$F$11:$CT$11,MP_Mar.20!$G44)</f>
        <v>0</v>
      </c>
      <c r="V15" s="18">
        <f>COUNTIF(MP_Mar.20!$F$12:$CT$12,MP_Mar.20!$G44)</f>
        <v>0</v>
      </c>
      <c r="W15" s="51" t="s">
        <v>18</v>
      </c>
      <c r="X15" s="18">
        <f>COUNTIF(MP_Abr.20!$F$7:$CQ$7,MP_Abr.20!$G44)</f>
        <v>0</v>
      </c>
      <c r="Y15" s="18">
        <f>COUNTIF(MP_Abr.20!$F$8:$CQ$8,MP_Abr.20!$G44)</f>
        <v>0</v>
      </c>
      <c r="Z15" s="18">
        <f>COUNTIF(MP_Abr.20!$F$9:$CQ$9,MP_Abr.20!$G44)</f>
        <v>0</v>
      </c>
      <c r="AA15" s="18">
        <f>COUNTIF(MP_Abr.20!$F$10:$CQ$10,MP_Abr.20!$G44)</f>
        <v>0</v>
      </c>
      <c r="AB15" s="18">
        <f>COUNTIF(MP_Abr.20!$F$11:$CQ$11,MP_Abr.20!$G44)</f>
        <v>0</v>
      </c>
      <c r="AC15" s="18">
        <f>COUNTIF(MP_Abr.20!$F$12:$CQ$12,MP_Abr.20!$G44)</f>
        <v>0</v>
      </c>
      <c r="AD15" s="51" t="s">
        <v>18</v>
      </c>
      <c r="AE15" s="18">
        <f>COUNTIF(MP_Mai.20!$F$7:$CT$7,MP_Mai.20!$G44)</f>
        <v>0</v>
      </c>
      <c r="AF15" s="18">
        <f>COUNTIF(MP_Mai.20!$F$8:$CT$8,MP_Mai.20!$G44)</f>
        <v>0</v>
      </c>
      <c r="AG15" s="18">
        <f>COUNTIF(MP_Mai.20!$F$9:$CT$9,MP_Mai.20!$G44)</f>
        <v>0</v>
      </c>
      <c r="AH15" s="18">
        <f>COUNTIF(MP_Mai.20!$F$10:$CT$10,MP_Mai.20!$G44)</f>
        <v>0</v>
      </c>
      <c r="AI15" s="18">
        <f>COUNTIF(MP_Mai.20!$F$11:$CT$11,MP_Mai.20!$G44)</f>
        <v>0</v>
      </c>
      <c r="AJ15" s="18">
        <f>COUNTIF(MP_Mai.20!$F$12:$CT$12,MP_Mai.20!$G44)</f>
        <v>0</v>
      </c>
      <c r="AK15" s="51" t="s">
        <v>18</v>
      </c>
      <c r="AL15" s="18">
        <f>COUNTIF(MP_Jun.20!$F$7:$CQ$7,MP_Jun.20!$G44)</f>
        <v>0</v>
      </c>
      <c r="AM15" s="18">
        <f>COUNTIF(MP_Jun.20!$F$8:$CQ$8,MP_Jun.20!$G44)</f>
        <v>0</v>
      </c>
      <c r="AN15" s="18">
        <f>COUNTIF(MP_Jun.20!$F$9:$CQ$9,MP_Jun.20!$G44)</f>
        <v>0</v>
      </c>
      <c r="AO15" s="18">
        <f>COUNTIF(MP_Jun.20!$F$10:$CQ$10,MP_Jun.20!$G44)</f>
        <v>0</v>
      </c>
      <c r="AP15" s="18">
        <f>COUNTIF(MP_Jun.20!$F$11:$CQ$11,MP_Jun.20!$G44)</f>
        <v>0</v>
      </c>
      <c r="AQ15" s="18">
        <f>COUNTIF(MP_Jun.20!$F$12:$CQ$12,MP_Jun.20!$G44)</f>
        <v>0</v>
      </c>
      <c r="AR15" s="51" t="s">
        <v>18</v>
      </c>
      <c r="AS15" s="18">
        <f>COUNTIF(MP_Jul.20!$F$7:$CT$7,MP_Jul.20!$G44)</f>
        <v>0</v>
      </c>
      <c r="AT15" s="18">
        <f>COUNTIF(MP_Jul.20!$F$8:$CT$8,MP_Jul.20!$G44)</f>
        <v>0</v>
      </c>
      <c r="AU15" s="18">
        <f>COUNTIF(MP_Jul.20!$F$9:$CT$9,MP_Jul.20!$G44)</f>
        <v>0</v>
      </c>
      <c r="AV15" s="18">
        <f>COUNTIF(MP_Jul.20!$F$10:$CT$10,MP_Jul.20!$G44)</f>
        <v>0</v>
      </c>
      <c r="AW15" s="18">
        <f>COUNTIF(MP_Jul.20!$F$11:$CT$11,MP_Jul.20!$G44)</f>
        <v>0</v>
      </c>
      <c r="AX15" s="18">
        <f>COUNTIF(MP_Jul.20!$F$12:$CT$12,MP_Jul.20!$G44)</f>
        <v>0</v>
      </c>
      <c r="AY15" s="51" t="s">
        <v>18</v>
      </c>
      <c r="AZ15" s="18">
        <f>COUNTIF(MP_Ago.20!$F$7:$CT$7,MP_Ago.20!$G44)</f>
        <v>0</v>
      </c>
      <c r="BA15" s="18">
        <f>COUNTIF(MP_Ago.20!$F$8:$CT$8,MP_Ago.20!$G44)</f>
        <v>0</v>
      </c>
      <c r="BB15" s="18">
        <f>COUNTIF(MP_Ago.20!$F$9:$CT$9,MP_Ago.20!$G44)</f>
        <v>0</v>
      </c>
      <c r="BC15" s="18">
        <f>COUNTIF(MP_Ago.20!$F$10:$CT$10,MP_Ago.20!$G44)</f>
        <v>0</v>
      </c>
      <c r="BD15" s="18">
        <f>COUNTIF(MP_Ago.20!$F$11:$CT$11,MP_Ago.20!$G44)</f>
        <v>0</v>
      </c>
      <c r="BE15" s="18">
        <f>COUNTIF(MP_Ago.20!$F$12:$CT$12,MP_Ago.20!$G44)</f>
        <v>0</v>
      </c>
      <c r="BF15" s="51" t="s">
        <v>18</v>
      </c>
      <c r="BG15" s="18">
        <f>COUNTIF(MP_Set.20!$F$7:$CQ$7,MP_Set.20!$G44)</f>
        <v>0</v>
      </c>
      <c r="BH15" s="18">
        <f>COUNTIF(MP_Set.20!$F$8:$CQ$8,MP_Set.20!$G44)</f>
        <v>0</v>
      </c>
      <c r="BI15" s="18">
        <f>COUNTIF(MP_Set.20!$F$9:$CQ$9,MP_Set.20!$G44)</f>
        <v>0</v>
      </c>
      <c r="BJ15" s="18">
        <f>COUNTIF(MP_Set.20!$F$10:$CQ$10,MP_Set.20!$G44)</f>
        <v>0</v>
      </c>
      <c r="BK15" s="18">
        <f>COUNTIF(MP_Set.20!$F$11:$CQ$11,MP_Set.20!$G44)</f>
        <v>0</v>
      </c>
      <c r="BL15" s="18">
        <f>COUNTIF(MP_Set.20!$F$12:$CQ$12,MP_Set.20!$G44)</f>
        <v>0</v>
      </c>
      <c r="BM15" s="51" t="s">
        <v>18</v>
      </c>
      <c r="BN15" s="18">
        <f>COUNTIF(MP_Out.20!$F$7:$CT$7,MP_Out.20!$G44)</f>
        <v>0</v>
      </c>
      <c r="BO15" s="18">
        <f>COUNTIF(MP_Out.20!$F$8:$CT$8,MP_Out.20!$G44)</f>
        <v>0</v>
      </c>
      <c r="BP15" s="18">
        <f>COUNTIF(MP_Out.20!$F$9:$CT$9,MP_Out.20!$G44)</f>
        <v>0</v>
      </c>
      <c r="BQ15" s="18">
        <f>COUNTIF(MP_Out.20!$F$10:$CT$10,MP_Out.20!$G44)</f>
        <v>0</v>
      </c>
      <c r="BR15" s="18">
        <f>COUNTIF(MP_Out.20!$F$11:$CT$11,MP_Out.20!$G44)</f>
        <v>0</v>
      </c>
      <c r="BS15" s="18">
        <f>COUNTIF(MP_Out.20!$F$12:$CT$12,MP_Out.20!$G44)</f>
        <v>0</v>
      </c>
      <c r="BT15" s="51" t="s">
        <v>18</v>
      </c>
      <c r="BU15" s="18">
        <f>COUNTIF(MP_Nov.20!$F$7:$CQ$7,MP_Nov.20!$G44)</f>
        <v>0</v>
      </c>
      <c r="BV15" s="18">
        <f>COUNTIF(MP_Nov.20!$F$8:$CQ$8,MP_Nov.20!$G44)</f>
        <v>0</v>
      </c>
      <c r="BW15" s="18">
        <f>COUNTIF(MP_Nov.20!$F$9:$CQ$9,MP_Nov.20!$G44)</f>
        <v>0</v>
      </c>
      <c r="BX15" s="18">
        <f>COUNTIF(MP_Nov.20!$F$10:$CQ$10,MP_Nov.20!$G44)</f>
        <v>0</v>
      </c>
      <c r="BY15" s="18">
        <f>COUNTIF(MP_Nov.20!$F$11:$CQ$11,MP_Nov.20!$G44)</f>
        <v>0</v>
      </c>
      <c r="BZ15" s="18">
        <f>COUNTIF(MP_Nov.20!$F$12:$CQ$12,MP_Nov.20!$G44)</f>
        <v>0</v>
      </c>
      <c r="CA15" s="51" t="s">
        <v>18</v>
      </c>
      <c r="CB15" s="18">
        <f>COUNTIF(MP_Dez.20!$F$7:$CT$7,MP_Dez.20!$G44)</f>
        <v>0</v>
      </c>
      <c r="CC15" s="18">
        <f>COUNTIF(MP_Dez.20!$F$8:$CT$8,MP_Dez.20!$G44)</f>
        <v>0</v>
      </c>
      <c r="CD15" s="18">
        <f>COUNTIF(MP_Dez.20!$F$9:$CT$9,MP_Dez.20!$G44)</f>
        <v>0</v>
      </c>
      <c r="CE15" s="18">
        <f>COUNTIF(MP_Dez.20!$F$10:$CT$10,MP_Dez.20!$G44)</f>
        <v>0</v>
      </c>
      <c r="CF15" s="18">
        <f>COUNTIF(MP_Dez.20!$F$11:$CT$11,MP_Dez.20!$G44)</f>
        <v>0</v>
      </c>
      <c r="CG15" s="18">
        <f>COUNTIF(MP_Dez.20!$F$12:$CT$12,MP_Dez.20!$G44)</f>
        <v>0</v>
      </c>
    </row>
    <row r="16" spans="2:85" hidden="1" x14ac:dyDescent="0.25">
      <c r="B16" s="21" t="s">
        <v>28</v>
      </c>
      <c r="C16" s="18">
        <f>COUNTIF(MP_Jan.20!$F$7:$CT$7,MP_Jan.20!$G45)</f>
        <v>0</v>
      </c>
      <c r="D16" s="18">
        <f>COUNTIF(MP_Jan.20!$F$8:$CT$8,MP_Jan.20!$G45)</f>
        <v>0</v>
      </c>
      <c r="E16" s="18">
        <f>COUNTIF(MP_Jan.20!$F$9:$CT$9,MP_Jan.20!$G45)</f>
        <v>0</v>
      </c>
      <c r="F16" s="18">
        <f>COUNTIF(MP_Jan.20!$F$10:$CT$10,MP_Jan.20!$G45)</f>
        <v>0</v>
      </c>
      <c r="G16" s="18">
        <f>COUNTIF(MP_Jan.20!$F$11:$CT$11,MP_Jan.20!$G45)</f>
        <v>0</v>
      </c>
      <c r="H16" s="18">
        <f>COUNTIF(MP_Jan.20!$F$12:$CT$12,MP_Jan.20!$G45)</f>
        <v>0</v>
      </c>
      <c r="I16" s="16" t="s">
        <v>28</v>
      </c>
      <c r="J16" s="18">
        <f>COUNTIF(MP_Fev.20!$F$7:$CN$7,MP_Fev.20!$G45)</f>
        <v>0</v>
      </c>
      <c r="K16" s="18">
        <f>COUNTIF(MP_Fev.20!$F$8:$CN$8,MP_Fev.20!$G45)</f>
        <v>0</v>
      </c>
      <c r="L16" s="18">
        <f>COUNTIF(MP_Fev.20!$F$9:$CN$9,MP_Fev.20!$G45)</f>
        <v>0</v>
      </c>
      <c r="M16" s="18">
        <f>COUNTIF(MP_Fev.20!$F$10:$CN$10,MP_Fev.20!$G45)</f>
        <v>0</v>
      </c>
      <c r="N16" s="18">
        <f>COUNTIF(MP_Fev.20!$F$11:$CN$11,MP_Fev.20!$G45)</f>
        <v>0</v>
      </c>
      <c r="O16" s="18">
        <f>COUNTIF(MP_Fev.20!$F$12:$CN$12,MP_Fev.20!$G45)</f>
        <v>0</v>
      </c>
      <c r="P16" s="16" t="s">
        <v>28</v>
      </c>
      <c r="Q16" s="18">
        <f>COUNTIF(MP_Mar.20!$F$7:$CT$7,MP_Mar.20!$G45)</f>
        <v>0</v>
      </c>
      <c r="R16" s="18">
        <f>COUNTIF(MP_Mar.20!$F$8:$CT$8,MP_Mar.20!$G45)</f>
        <v>0</v>
      </c>
      <c r="S16" s="18">
        <f>COUNTIF(MP_Mar.20!$F$9:$CT$9,MP_Mar.20!$G45)</f>
        <v>0</v>
      </c>
      <c r="T16" s="18">
        <f>COUNTIF(MP_Mar.20!$F$10:$CT$10,MP_Mar.20!$G45)</f>
        <v>0</v>
      </c>
      <c r="U16" s="18">
        <f>COUNTIF(MP_Mar.20!$F$11:$CT$11,MP_Mar.20!$G45)</f>
        <v>0</v>
      </c>
      <c r="V16" s="18">
        <f>COUNTIF(MP_Mar.20!$F$12:$CT$12,MP_Mar.20!$G45)</f>
        <v>0</v>
      </c>
      <c r="W16" s="16" t="s">
        <v>28</v>
      </c>
      <c r="X16" s="18">
        <f>COUNTIF(MP_Abr.20!$F$7:$CQ$7,MP_Abr.20!$G45)</f>
        <v>0</v>
      </c>
      <c r="Y16" s="18">
        <f>COUNTIF(MP_Abr.20!$F$8:$CQ$8,MP_Abr.20!$G45)</f>
        <v>0</v>
      </c>
      <c r="Z16" s="18">
        <f>COUNTIF(MP_Abr.20!$F$9:$CQ$9,MP_Abr.20!$G45)</f>
        <v>0</v>
      </c>
      <c r="AA16" s="18">
        <f>COUNTIF(MP_Abr.20!$F$10:$CQ$10,MP_Abr.20!$G45)</f>
        <v>0</v>
      </c>
      <c r="AB16" s="18">
        <f>COUNTIF(MP_Abr.20!$F$11:$CQ$11,MP_Abr.20!$G45)</f>
        <v>0</v>
      </c>
      <c r="AC16" s="18">
        <f>COUNTIF(MP_Abr.20!$F$12:$CQ$12,MP_Abr.20!$G45)</f>
        <v>0</v>
      </c>
      <c r="AD16" s="16" t="s">
        <v>28</v>
      </c>
      <c r="AE16" s="18">
        <f>COUNTIF(MP_Mai.20!$F$7:$CT$7,MP_Mai.20!$G45)</f>
        <v>0</v>
      </c>
      <c r="AF16" s="18">
        <f>COUNTIF(MP_Mai.20!$F$8:$CT$8,MP_Mai.20!$G45)</f>
        <v>0</v>
      </c>
      <c r="AG16" s="18">
        <f>COUNTIF(MP_Mai.20!$F$9:$CT$9,MP_Mai.20!$G45)</f>
        <v>0</v>
      </c>
      <c r="AH16" s="18">
        <f>COUNTIF(MP_Mai.20!$F$10:$CT$10,MP_Mai.20!$G45)</f>
        <v>0</v>
      </c>
      <c r="AI16" s="18">
        <f>COUNTIF(MP_Mai.20!$F$11:$CT$11,MP_Mai.20!$G45)</f>
        <v>0</v>
      </c>
      <c r="AJ16" s="18">
        <f>COUNTIF(MP_Mai.20!$F$12:$CT$12,MP_Mai.20!$G45)</f>
        <v>0</v>
      </c>
      <c r="AK16" s="16" t="s">
        <v>28</v>
      </c>
      <c r="AL16" s="18">
        <f>COUNTIF(MP_Jun.20!$F$7:$CQ$7,MP_Jun.20!$G45)</f>
        <v>0</v>
      </c>
      <c r="AM16" s="18">
        <f>COUNTIF(MP_Jun.20!$F$8:$CQ$8,MP_Jun.20!$G45)</f>
        <v>0</v>
      </c>
      <c r="AN16" s="18">
        <f>COUNTIF(MP_Jun.20!$F$9:$CQ$9,MP_Jun.20!$G45)</f>
        <v>0</v>
      </c>
      <c r="AO16" s="18">
        <f>COUNTIF(MP_Jun.20!$F$10:$CQ$10,MP_Jun.20!$G45)</f>
        <v>0</v>
      </c>
      <c r="AP16" s="18">
        <f>COUNTIF(MP_Jun.20!$F$11:$CQ$11,MP_Jun.20!$G45)</f>
        <v>0</v>
      </c>
      <c r="AQ16" s="18">
        <f>COUNTIF(MP_Jun.20!$F$12:$CQ$12,MP_Jun.20!$G45)</f>
        <v>0</v>
      </c>
      <c r="AR16" s="16" t="s">
        <v>28</v>
      </c>
      <c r="AS16" s="18">
        <f>COUNTIF(MP_Jul.20!$F$7:$CT$7,MP_Jul.20!$G45)</f>
        <v>0</v>
      </c>
      <c r="AT16" s="18">
        <f>COUNTIF(MP_Jul.20!$F$8:$CT$8,MP_Jul.20!$G45)</f>
        <v>0</v>
      </c>
      <c r="AU16" s="18">
        <f>COUNTIF(MP_Jul.20!$F$9:$CT$9,MP_Jul.20!$G45)</f>
        <v>0</v>
      </c>
      <c r="AV16" s="18">
        <f>COUNTIF(MP_Jul.20!$F$10:$CT$10,MP_Jul.20!$G45)</f>
        <v>0</v>
      </c>
      <c r="AW16" s="18">
        <f>COUNTIF(MP_Jul.20!$F$11:$CT$11,MP_Jul.20!$G45)</f>
        <v>0</v>
      </c>
      <c r="AX16" s="18">
        <f>COUNTIF(MP_Jul.20!$F$12:$CT$12,MP_Jul.20!$G45)</f>
        <v>0</v>
      </c>
      <c r="AY16" s="16" t="s">
        <v>28</v>
      </c>
      <c r="AZ16" s="18">
        <f>COUNTIF(MP_Ago.20!$F$7:$CT$7,MP_Ago.20!$G45)</f>
        <v>0</v>
      </c>
      <c r="BA16" s="18">
        <f>COUNTIF(MP_Ago.20!$F$8:$CT$8,MP_Ago.20!$G45)</f>
        <v>0</v>
      </c>
      <c r="BB16" s="18">
        <f>COUNTIF(MP_Ago.20!$F$9:$CT$9,MP_Ago.20!$G45)</f>
        <v>0</v>
      </c>
      <c r="BC16" s="18">
        <f>COUNTIF(MP_Ago.20!$F$10:$CT$10,MP_Ago.20!$G45)</f>
        <v>0</v>
      </c>
      <c r="BD16" s="18">
        <f>COUNTIF(MP_Ago.20!$F$11:$CT$11,MP_Ago.20!$G45)</f>
        <v>0</v>
      </c>
      <c r="BE16" s="18">
        <f>COUNTIF(MP_Ago.20!$F$12:$CT$12,MP_Ago.20!$G45)</f>
        <v>0</v>
      </c>
      <c r="BF16" s="16" t="s">
        <v>28</v>
      </c>
      <c r="BG16" s="18">
        <f>COUNTIF(MP_Set.20!$F$7:$CQ$7,MP_Set.20!$G45)</f>
        <v>0</v>
      </c>
      <c r="BH16" s="18">
        <f>COUNTIF(MP_Set.20!$F$8:$CQ$8,MP_Set.20!$G45)</f>
        <v>0</v>
      </c>
      <c r="BI16" s="18">
        <f>COUNTIF(MP_Set.20!$F$9:$CQ$9,MP_Set.20!$G45)</f>
        <v>0</v>
      </c>
      <c r="BJ16" s="18">
        <f>COUNTIF(MP_Set.20!$F$10:$CQ$10,MP_Set.20!$G45)</f>
        <v>0</v>
      </c>
      <c r="BK16" s="18">
        <f>COUNTIF(MP_Set.20!$F$11:$CQ$11,MP_Set.20!$G45)</f>
        <v>0</v>
      </c>
      <c r="BL16" s="18">
        <f>COUNTIF(MP_Set.20!$F$12:$CQ$12,MP_Set.20!$G45)</f>
        <v>0</v>
      </c>
      <c r="BM16" s="16" t="s">
        <v>28</v>
      </c>
      <c r="BN16" s="18">
        <f>COUNTIF(MP_Out.20!$F$7:$CT$7,MP_Out.20!$G45)</f>
        <v>0</v>
      </c>
      <c r="BO16" s="18">
        <f>COUNTIF(MP_Out.20!$F$8:$CT$8,MP_Out.20!$G45)</f>
        <v>0</v>
      </c>
      <c r="BP16" s="18">
        <f>COUNTIF(MP_Out.20!$F$9:$CT$9,MP_Out.20!$G45)</f>
        <v>0</v>
      </c>
      <c r="BQ16" s="18">
        <f>COUNTIF(MP_Out.20!$F$10:$CT$10,MP_Out.20!$G45)</f>
        <v>0</v>
      </c>
      <c r="BR16" s="18">
        <f>COUNTIF(MP_Out.20!$F$11:$CT$11,MP_Out.20!$G45)</f>
        <v>0</v>
      </c>
      <c r="BS16" s="18">
        <f>COUNTIF(MP_Out.20!$F$12:$CT$12,MP_Out.20!$G45)</f>
        <v>0</v>
      </c>
      <c r="BT16" s="16" t="s">
        <v>28</v>
      </c>
      <c r="BU16" s="18">
        <f>COUNTIF(MP_Nov.20!$F$7:$CQ$7,MP_Nov.20!$G45)</f>
        <v>0</v>
      </c>
      <c r="BV16" s="18">
        <f>COUNTIF(MP_Nov.20!$F$8:$CQ$8,MP_Nov.20!$G45)</f>
        <v>0</v>
      </c>
      <c r="BW16" s="18">
        <f>COUNTIF(MP_Nov.20!$F$9:$CQ$9,MP_Nov.20!$G45)</f>
        <v>0</v>
      </c>
      <c r="BX16" s="18">
        <f>COUNTIF(MP_Nov.20!$F$10:$CQ$10,MP_Nov.20!$G45)</f>
        <v>0</v>
      </c>
      <c r="BY16" s="18">
        <f>COUNTIF(MP_Nov.20!$F$11:$CQ$11,MP_Nov.20!$G45)</f>
        <v>0</v>
      </c>
      <c r="BZ16" s="18">
        <f>COUNTIF(MP_Nov.20!$F$12:$CQ$12,MP_Nov.20!$G45)</f>
        <v>0</v>
      </c>
      <c r="CA16" s="16" t="s">
        <v>28</v>
      </c>
      <c r="CB16" s="18">
        <f>COUNTIF(MP_Dez.20!$F$7:$CT$7,MP_Dez.20!$G45)</f>
        <v>0</v>
      </c>
      <c r="CC16" s="18">
        <f>COUNTIF(MP_Dez.20!$F$8:$CT$8,MP_Dez.20!$G45)</f>
        <v>0</v>
      </c>
      <c r="CD16" s="18">
        <f>COUNTIF(MP_Dez.20!$F$9:$CT$9,MP_Dez.20!$G45)</f>
        <v>0</v>
      </c>
      <c r="CE16" s="18">
        <f>COUNTIF(MP_Dez.20!$F$10:$CT$10,MP_Dez.20!$G45)</f>
        <v>0</v>
      </c>
      <c r="CF16" s="18">
        <f>COUNTIF(MP_Dez.20!$F$11:$CT$11,MP_Dez.20!$G45)</f>
        <v>0</v>
      </c>
      <c r="CG16" s="18">
        <f>COUNTIF(MP_Dez.20!$F$12:$CT$12,MP_Dez.20!$G45)</f>
        <v>0</v>
      </c>
    </row>
    <row r="17" spans="1:85" hidden="1" x14ac:dyDescent="0.25">
      <c r="B17" s="21" t="s">
        <v>11</v>
      </c>
      <c r="C17" s="18">
        <f>COUNTIF(MP_Jan.20!$F$7:$CT$7,MP_Jan.20!$G46)</f>
        <v>2</v>
      </c>
      <c r="D17" s="18">
        <f>COUNTIF(MP_Jan.20!$F$8:$CT$8,MP_Jan.20!$G46)</f>
        <v>2</v>
      </c>
      <c r="E17" s="18">
        <f>COUNTIF(MP_Jan.20!$F$9:$CT$9,MP_Jan.20!$G46)</f>
        <v>3</v>
      </c>
      <c r="F17" s="18">
        <f>COUNTIF(MP_Jan.20!$F$10:$CT$10,MP_Jan.20!$G46)</f>
        <v>1</v>
      </c>
      <c r="G17" s="18">
        <f>COUNTIF(MP_Jan.20!$F$11:$CT$11,MP_Jan.20!$G46)</f>
        <v>4</v>
      </c>
      <c r="H17" s="18">
        <f>COUNTIF(MP_Jan.20!$F$12:$CT$12,MP_Jan.20!$G46)</f>
        <v>10</v>
      </c>
      <c r="I17" s="16" t="s">
        <v>11</v>
      </c>
      <c r="J17" s="18">
        <f>COUNTIF(MP_Fev.20!$F$7:$CN$7,MP_Fev.20!$G46)</f>
        <v>0</v>
      </c>
      <c r="K17" s="18">
        <f>COUNTIF(MP_Fev.20!$F$8:$CN$8,MP_Fev.20!$G46)</f>
        <v>0</v>
      </c>
      <c r="L17" s="18">
        <f>COUNTIF(MP_Fev.20!$F$9:$CN$9,MP_Fev.20!$G46)</f>
        <v>0</v>
      </c>
      <c r="M17" s="18">
        <f>COUNTIF(MP_Fev.20!$F$10:$CN$10,MP_Fev.20!$G46)</f>
        <v>0</v>
      </c>
      <c r="N17" s="18">
        <f>COUNTIF(MP_Fev.20!$F$11:$CN$11,MP_Fev.20!$G46)</f>
        <v>0</v>
      </c>
      <c r="O17" s="18">
        <f>COUNTIF(MP_Fev.20!$F$12:$CN$12,MP_Fev.20!$G46)</f>
        <v>0</v>
      </c>
      <c r="P17" s="16" t="s">
        <v>11</v>
      </c>
      <c r="Q17" s="18">
        <f>COUNTIF(MP_Mar.20!$F$7:$CT$7,MP_Mar.20!$G46)</f>
        <v>0</v>
      </c>
      <c r="R17" s="18">
        <f>COUNTIF(MP_Mar.20!$F$8:$CT$8,MP_Mar.20!$G46)</f>
        <v>0</v>
      </c>
      <c r="S17" s="18">
        <f>COUNTIF(MP_Mar.20!$F$9:$CT$9,MP_Mar.20!$G46)</f>
        <v>0</v>
      </c>
      <c r="T17" s="18">
        <f>COUNTIF(MP_Mar.20!$F$10:$CT$10,MP_Mar.20!$G46)</f>
        <v>0</v>
      </c>
      <c r="U17" s="18">
        <f>COUNTIF(MP_Mar.20!$F$11:$CT$11,MP_Mar.20!$G46)</f>
        <v>0</v>
      </c>
      <c r="V17" s="18">
        <f>COUNTIF(MP_Mar.20!$F$12:$CT$12,MP_Mar.20!$G46)</f>
        <v>0</v>
      </c>
      <c r="W17" s="16" t="s">
        <v>11</v>
      </c>
      <c r="X17" s="18">
        <f>COUNTIF(MP_Abr.20!$F$7:$CQ$7,MP_Abr.20!$G46)</f>
        <v>0</v>
      </c>
      <c r="Y17" s="18">
        <f>COUNTIF(MP_Abr.20!$F$8:$CQ$8,MP_Abr.20!$G46)</f>
        <v>0</v>
      </c>
      <c r="Z17" s="18">
        <f>COUNTIF(MP_Abr.20!$F$9:$CQ$9,MP_Abr.20!$G46)</f>
        <v>0</v>
      </c>
      <c r="AA17" s="18">
        <f>COUNTIF(MP_Abr.20!$F$10:$CQ$10,MP_Abr.20!$G46)</f>
        <v>0</v>
      </c>
      <c r="AB17" s="18">
        <f>COUNTIF(MP_Abr.20!$F$11:$CQ$11,MP_Abr.20!$G46)</f>
        <v>0</v>
      </c>
      <c r="AC17" s="18">
        <f>COUNTIF(MP_Abr.20!$F$12:$CQ$12,MP_Abr.20!$G46)</f>
        <v>0</v>
      </c>
      <c r="AD17" s="16" t="s">
        <v>11</v>
      </c>
      <c r="AE17" s="18">
        <f>COUNTIF(MP_Mai.20!$F$7:$CT$7,MP_Mai.20!$G46)</f>
        <v>0</v>
      </c>
      <c r="AF17" s="18">
        <f>COUNTIF(MP_Mai.20!$F$8:$CT$8,MP_Mai.20!$G46)</f>
        <v>0</v>
      </c>
      <c r="AG17" s="18">
        <f>COUNTIF(MP_Mai.20!$F$9:$CT$9,MP_Mai.20!$G46)</f>
        <v>0</v>
      </c>
      <c r="AH17" s="18">
        <f>COUNTIF(MP_Mai.20!$F$10:$CT$10,MP_Mai.20!$G46)</f>
        <v>0</v>
      </c>
      <c r="AI17" s="18">
        <f>COUNTIF(MP_Mai.20!$F$11:$CT$11,MP_Mai.20!$G46)</f>
        <v>0</v>
      </c>
      <c r="AJ17" s="18">
        <f>COUNTIF(MP_Mai.20!$F$12:$CT$12,MP_Mai.20!$G46)</f>
        <v>0</v>
      </c>
      <c r="AK17" s="16" t="s">
        <v>11</v>
      </c>
      <c r="AL17" s="18">
        <f>COUNTIF(MP_Jun.20!$F$7:$CQ$7,MP_Jun.20!$G46)</f>
        <v>0</v>
      </c>
      <c r="AM17" s="18">
        <f>COUNTIF(MP_Jun.20!$F$8:$CQ$8,MP_Jun.20!$G46)</f>
        <v>0</v>
      </c>
      <c r="AN17" s="18">
        <f>COUNTIF(MP_Jun.20!$F$9:$CQ$9,MP_Jun.20!$G46)</f>
        <v>0</v>
      </c>
      <c r="AO17" s="18">
        <f>COUNTIF(MP_Jun.20!$F$10:$CQ$10,MP_Jun.20!$G46)</f>
        <v>0</v>
      </c>
      <c r="AP17" s="18">
        <f>COUNTIF(MP_Jun.20!$F$11:$CQ$11,MP_Jun.20!$G46)</f>
        <v>0</v>
      </c>
      <c r="AQ17" s="18">
        <f>COUNTIF(MP_Jun.20!$F$12:$CQ$12,MP_Jun.20!$G46)</f>
        <v>0</v>
      </c>
      <c r="AR17" s="16" t="s">
        <v>11</v>
      </c>
      <c r="AS17" s="18">
        <f>COUNTIF(MP_Jul.20!$F$7:$CT$7,MP_Jul.20!$G46)</f>
        <v>0</v>
      </c>
      <c r="AT17" s="18">
        <f>COUNTIF(MP_Jul.20!$F$8:$CT$8,MP_Jul.20!$G46)</f>
        <v>0</v>
      </c>
      <c r="AU17" s="18">
        <f>COUNTIF(MP_Jul.20!$F$9:$CT$9,MP_Jul.20!$G46)</f>
        <v>0</v>
      </c>
      <c r="AV17" s="18">
        <f>COUNTIF(MP_Jul.20!$F$10:$CT$10,MP_Jul.20!$G46)</f>
        <v>0</v>
      </c>
      <c r="AW17" s="18">
        <f>COUNTIF(MP_Jul.20!$F$11:$CT$11,MP_Jul.20!$G46)</f>
        <v>0</v>
      </c>
      <c r="AX17" s="18">
        <f>COUNTIF(MP_Jul.20!$F$12:$CT$12,MP_Jul.20!$G46)</f>
        <v>0</v>
      </c>
      <c r="AY17" s="16" t="s">
        <v>11</v>
      </c>
      <c r="AZ17" s="18">
        <f>COUNTIF(MP_Ago.20!$F$7:$CT$7,MP_Ago.20!$G46)</f>
        <v>0</v>
      </c>
      <c r="BA17" s="18">
        <f>COUNTIF(MP_Ago.20!$F$8:$CT$8,MP_Ago.20!$G46)</f>
        <v>0</v>
      </c>
      <c r="BB17" s="18">
        <f>COUNTIF(MP_Ago.20!$F$9:$CT$9,MP_Ago.20!$G46)</f>
        <v>0</v>
      </c>
      <c r="BC17" s="18">
        <f>COUNTIF(MP_Ago.20!$F$10:$CT$10,MP_Ago.20!$G46)</f>
        <v>0</v>
      </c>
      <c r="BD17" s="18">
        <f>COUNTIF(MP_Ago.20!$F$11:$CT$11,MP_Ago.20!$G46)</f>
        <v>0</v>
      </c>
      <c r="BE17" s="18">
        <f>COUNTIF(MP_Ago.20!$F$12:$CT$12,MP_Ago.20!$G46)</f>
        <v>0</v>
      </c>
      <c r="BF17" s="16" t="s">
        <v>11</v>
      </c>
      <c r="BG17" s="18">
        <f>COUNTIF(MP_Set.20!$F$7:$CQ$7,MP_Set.20!$G46)</f>
        <v>0</v>
      </c>
      <c r="BH17" s="18">
        <f>COUNTIF(MP_Set.20!$F$8:$CQ$8,MP_Set.20!$G46)</f>
        <v>0</v>
      </c>
      <c r="BI17" s="18">
        <f>COUNTIF(MP_Set.20!$F$9:$CQ$9,MP_Set.20!$G46)</f>
        <v>0</v>
      </c>
      <c r="BJ17" s="18">
        <f>COUNTIF(MP_Set.20!$F$10:$CQ$10,MP_Set.20!$G46)</f>
        <v>0</v>
      </c>
      <c r="BK17" s="18">
        <f>COUNTIF(MP_Set.20!$F$11:$CQ$11,MP_Set.20!$G46)</f>
        <v>0</v>
      </c>
      <c r="BL17" s="18">
        <f>COUNTIF(MP_Set.20!$F$12:$CQ$12,MP_Set.20!$G46)</f>
        <v>0</v>
      </c>
      <c r="BM17" s="16" t="s">
        <v>11</v>
      </c>
      <c r="BN17" s="18">
        <f>COUNTIF(MP_Out.20!$F$7:$CT$7,MP_Out.20!$G46)</f>
        <v>0</v>
      </c>
      <c r="BO17" s="18">
        <f>COUNTIF(MP_Out.20!$F$8:$CT$8,MP_Out.20!$G46)</f>
        <v>0</v>
      </c>
      <c r="BP17" s="18">
        <f>COUNTIF(MP_Out.20!$F$9:$CT$9,MP_Out.20!$G46)</f>
        <v>0</v>
      </c>
      <c r="BQ17" s="18">
        <f>COUNTIF(MP_Out.20!$F$10:$CT$10,MP_Out.20!$G46)</f>
        <v>0</v>
      </c>
      <c r="BR17" s="18">
        <f>COUNTIF(MP_Out.20!$F$11:$CT$11,MP_Out.20!$G46)</f>
        <v>0</v>
      </c>
      <c r="BS17" s="18">
        <f>COUNTIF(MP_Out.20!$F$12:$CT$12,MP_Out.20!$G46)</f>
        <v>0</v>
      </c>
      <c r="BT17" s="16" t="s">
        <v>11</v>
      </c>
      <c r="BU17" s="18">
        <f>COUNTIF(MP_Nov.20!$F$7:$CQ$7,MP_Nov.20!$G46)</f>
        <v>0</v>
      </c>
      <c r="BV17" s="18">
        <f>COUNTIF(MP_Nov.20!$F$8:$CQ$8,MP_Nov.20!$G46)</f>
        <v>0</v>
      </c>
      <c r="BW17" s="18">
        <f>COUNTIF(MP_Nov.20!$F$9:$CQ$9,MP_Nov.20!$G46)</f>
        <v>0</v>
      </c>
      <c r="BX17" s="18">
        <f>COUNTIF(MP_Nov.20!$F$10:$CQ$10,MP_Nov.20!$G46)</f>
        <v>0</v>
      </c>
      <c r="BY17" s="18">
        <f>COUNTIF(MP_Nov.20!$F$11:$CQ$11,MP_Nov.20!$G46)</f>
        <v>0</v>
      </c>
      <c r="BZ17" s="18">
        <f>COUNTIF(MP_Nov.20!$F$12:$CQ$12,MP_Nov.20!$G46)</f>
        <v>0</v>
      </c>
      <c r="CA17" s="16" t="s">
        <v>11</v>
      </c>
      <c r="CB17" s="18">
        <f>COUNTIF(MP_Dez.20!$F$7:$CT$7,MP_Dez.20!$G46)</f>
        <v>0</v>
      </c>
      <c r="CC17" s="18">
        <f>COUNTIF(MP_Dez.20!$F$8:$CT$8,MP_Dez.20!$G46)</f>
        <v>0</v>
      </c>
      <c r="CD17" s="18">
        <f>COUNTIF(MP_Dez.20!$F$9:$CT$9,MP_Dez.20!$G46)</f>
        <v>0</v>
      </c>
      <c r="CE17" s="18">
        <f>COUNTIF(MP_Dez.20!$F$10:$CT$10,MP_Dez.20!$G46)</f>
        <v>0</v>
      </c>
      <c r="CF17" s="18">
        <f>COUNTIF(MP_Dez.20!$F$11:$CT$11,MP_Dez.20!$G46)</f>
        <v>0</v>
      </c>
      <c r="CG17" s="18">
        <f>COUNTIF(MP_Dez.20!$F$12:$CT$12,MP_Dez.20!$G46)</f>
        <v>0</v>
      </c>
    </row>
    <row r="18" spans="1:85" hidden="1" x14ac:dyDescent="0.25">
      <c r="B18" s="6"/>
      <c r="C18" s="21" t="str">
        <f t="shared" ref="C18:H18" si="0">C6</f>
        <v>HPLC.0034</v>
      </c>
      <c r="D18" s="21" t="str">
        <f t="shared" si="0"/>
        <v>HPLC.0035</v>
      </c>
      <c r="E18" s="21" t="str">
        <f t="shared" si="0"/>
        <v>HPLC.0036</v>
      </c>
      <c r="F18" s="21" t="str">
        <f t="shared" si="0"/>
        <v>HPLC.0037</v>
      </c>
      <c r="G18" s="21" t="str">
        <f t="shared" si="0"/>
        <v>HPLC.0045</v>
      </c>
      <c r="H18" s="21" t="str">
        <f t="shared" si="0"/>
        <v>HPLC.0050</v>
      </c>
      <c r="I18" s="52"/>
      <c r="J18" s="21" t="str">
        <f t="shared" ref="J18:O18" si="1">J6</f>
        <v>HPLC.0034</v>
      </c>
      <c r="K18" s="21" t="str">
        <f t="shared" si="1"/>
        <v>HPLC.0035</v>
      </c>
      <c r="L18" s="21" t="str">
        <f t="shared" si="1"/>
        <v>HPLC.0036</v>
      </c>
      <c r="M18" s="21" t="str">
        <f t="shared" si="1"/>
        <v>HPLC.0037</v>
      </c>
      <c r="N18" s="21" t="str">
        <f t="shared" si="1"/>
        <v>HPLC.0045</v>
      </c>
      <c r="O18" s="21" t="str">
        <f t="shared" si="1"/>
        <v>HPLC.0050</v>
      </c>
      <c r="P18" s="52"/>
      <c r="Q18" s="21" t="str">
        <f t="shared" ref="Q18:V18" si="2">Q6</f>
        <v>HPLC.0034</v>
      </c>
      <c r="R18" s="21" t="str">
        <f t="shared" si="2"/>
        <v>HPLC.0035</v>
      </c>
      <c r="S18" s="21" t="str">
        <f t="shared" si="2"/>
        <v>HPLC.0036</v>
      </c>
      <c r="T18" s="21" t="str">
        <f t="shared" si="2"/>
        <v>HPLC.0037</v>
      </c>
      <c r="U18" s="21" t="str">
        <f t="shared" si="2"/>
        <v>HPLC.0045</v>
      </c>
      <c r="V18" s="21" t="str">
        <f t="shared" si="2"/>
        <v>HPLC.0050</v>
      </c>
      <c r="W18" s="52"/>
      <c r="X18" s="21" t="str">
        <f t="shared" ref="X18:AC18" si="3">X6</f>
        <v>HPLC.0034</v>
      </c>
      <c r="Y18" s="21" t="str">
        <f t="shared" si="3"/>
        <v>HPLC.0035</v>
      </c>
      <c r="Z18" s="21" t="str">
        <f t="shared" si="3"/>
        <v>HPLC.0036</v>
      </c>
      <c r="AA18" s="21" t="str">
        <f t="shared" si="3"/>
        <v>HPLC.0037</v>
      </c>
      <c r="AB18" s="21" t="str">
        <f t="shared" si="3"/>
        <v>HPLC.0045</v>
      </c>
      <c r="AC18" s="21" t="str">
        <f t="shared" si="3"/>
        <v>HPLC.0050</v>
      </c>
      <c r="AD18" s="52"/>
      <c r="AE18" s="21" t="str">
        <f t="shared" ref="AE18:AJ18" si="4">AE6</f>
        <v>HPLC.0034</v>
      </c>
      <c r="AF18" s="21" t="str">
        <f t="shared" si="4"/>
        <v>HPLC.0035</v>
      </c>
      <c r="AG18" s="21" t="str">
        <f t="shared" si="4"/>
        <v>HPLC.0036</v>
      </c>
      <c r="AH18" s="21" t="str">
        <f t="shared" si="4"/>
        <v>HPLC.0037</v>
      </c>
      <c r="AI18" s="21" t="str">
        <f t="shared" si="4"/>
        <v>HPLC.0045</v>
      </c>
      <c r="AJ18" s="21" t="str">
        <f t="shared" si="4"/>
        <v>HPLC.0050</v>
      </c>
      <c r="AK18" s="52"/>
      <c r="AL18" s="21" t="str">
        <f t="shared" ref="AL18:AQ18" si="5">AL6</f>
        <v>HPLC.0034</v>
      </c>
      <c r="AM18" s="21" t="str">
        <f t="shared" si="5"/>
        <v>HPLC.0035</v>
      </c>
      <c r="AN18" s="21" t="str">
        <f t="shared" si="5"/>
        <v>HPLC.0036</v>
      </c>
      <c r="AO18" s="21" t="str">
        <f t="shared" si="5"/>
        <v>HPLC.0037</v>
      </c>
      <c r="AP18" s="21" t="str">
        <f t="shared" si="5"/>
        <v>HPLC.0045</v>
      </c>
      <c r="AQ18" s="21" t="str">
        <f t="shared" si="5"/>
        <v>HPLC.0050</v>
      </c>
      <c r="AR18" s="52"/>
      <c r="AS18" s="21" t="str">
        <f t="shared" ref="AS18:AX18" si="6">AS6</f>
        <v>HPLC.0034</v>
      </c>
      <c r="AT18" s="21" t="str">
        <f t="shared" si="6"/>
        <v>HPLC.0035</v>
      </c>
      <c r="AU18" s="21" t="str">
        <f t="shared" si="6"/>
        <v>HPLC.0036</v>
      </c>
      <c r="AV18" s="21" t="str">
        <f t="shared" si="6"/>
        <v>HPLC.0037</v>
      </c>
      <c r="AW18" s="21" t="str">
        <f t="shared" si="6"/>
        <v>HPLC.0045</v>
      </c>
      <c r="AX18" s="21" t="str">
        <f t="shared" si="6"/>
        <v>HPLC.0050</v>
      </c>
      <c r="AY18" s="52"/>
      <c r="AZ18" s="21" t="str">
        <f t="shared" ref="AZ18:BE18" si="7">AZ6</f>
        <v>HPLC.0034</v>
      </c>
      <c r="BA18" s="21" t="str">
        <f t="shared" si="7"/>
        <v>HPLC.0035</v>
      </c>
      <c r="BB18" s="21" t="str">
        <f t="shared" si="7"/>
        <v>HPLC.0036</v>
      </c>
      <c r="BC18" s="21" t="str">
        <f t="shared" si="7"/>
        <v>HPLC.0037</v>
      </c>
      <c r="BD18" s="21" t="str">
        <f t="shared" si="7"/>
        <v>HPLC.0045</v>
      </c>
      <c r="BE18" s="21" t="str">
        <f t="shared" si="7"/>
        <v>HPLC.0050</v>
      </c>
      <c r="BF18" s="52"/>
      <c r="BG18" s="21" t="str">
        <f t="shared" ref="BG18:BL18" si="8">BG6</f>
        <v>HPLC.0034</v>
      </c>
      <c r="BH18" s="21" t="str">
        <f t="shared" si="8"/>
        <v>HPLC.0035</v>
      </c>
      <c r="BI18" s="21" t="str">
        <f t="shared" si="8"/>
        <v>HPLC.0036</v>
      </c>
      <c r="BJ18" s="21" t="str">
        <f t="shared" si="8"/>
        <v>HPLC.0037</v>
      </c>
      <c r="BK18" s="21" t="str">
        <f t="shared" si="8"/>
        <v>HPLC.0045</v>
      </c>
      <c r="BL18" s="21" t="str">
        <f t="shared" si="8"/>
        <v>HPLC.0050</v>
      </c>
      <c r="BM18" s="52"/>
      <c r="BN18" s="21" t="str">
        <f t="shared" ref="BN18:BS18" si="9">BN6</f>
        <v>HPLC.0034</v>
      </c>
      <c r="BO18" s="21" t="str">
        <f t="shared" si="9"/>
        <v>HPLC.0035</v>
      </c>
      <c r="BP18" s="21" t="str">
        <f t="shared" si="9"/>
        <v>HPLC.0036</v>
      </c>
      <c r="BQ18" s="21" t="str">
        <f t="shared" si="9"/>
        <v>HPLC.0037</v>
      </c>
      <c r="BR18" s="21" t="str">
        <f t="shared" si="9"/>
        <v>HPLC.0045</v>
      </c>
      <c r="BS18" s="21" t="str">
        <f t="shared" si="9"/>
        <v>HPLC.0050</v>
      </c>
      <c r="BT18" s="52"/>
      <c r="BU18" s="21" t="str">
        <f t="shared" ref="BU18:BZ18" si="10">BU6</f>
        <v>HPLC.0034</v>
      </c>
      <c r="BV18" s="21" t="str">
        <f t="shared" si="10"/>
        <v>HPLC.0035</v>
      </c>
      <c r="BW18" s="21" t="str">
        <f t="shared" si="10"/>
        <v>HPLC.0036</v>
      </c>
      <c r="BX18" s="21" t="str">
        <f t="shared" si="10"/>
        <v>HPLC.0037</v>
      </c>
      <c r="BY18" s="21" t="str">
        <f t="shared" si="10"/>
        <v>HPLC.0045</v>
      </c>
      <c r="BZ18" s="21" t="str">
        <f t="shared" si="10"/>
        <v>HPLC.0050</v>
      </c>
      <c r="CA18" s="52"/>
      <c r="CB18" s="21" t="str">
        <f t="shared" ref="CB18:CG18" si="11">CB6</f>
        <v>HPLC.0034</v>
      </c>
      <c r="CC18" s="21" t="str">
        <f t="shared" si="11"/>
        <v>HPLC.0035</v>
      </c>
      <c r="CD18" s="21" t="str">
        <f t="shared" si="11"/>
        <v>HPLC.0036</v>
      </c>
      <c r="CE18" s="21" t="str">
        <f t="shared" si="11"/>
        <v>HPLC.0037</v>
      </c>
      <c r="CF18" s="21" t="str">
        <f t="shared" si="11"/>
        <v>HPLC.0045</v>
      </c>
      <c r="CG18" s="21" t="str">
        <f t="shared" si="11"/>
        <v>HPLC.0050</v>
      </c>
    </row>
    <row r="19" spans="1:85" hidden="1" x14ac:dyDescent="0.25">
      <c r="B19" s="21" t="s">
        <v>73</v>
      </c>
      <c r="C19" s="24">
        <f t="shared" ref="C19:H19" si="12">SUM(C7:C8,C10:C15)</f>
        <v>13</v>
      </c>
      <c r="D19" s="24">
        <f t="shared" si="12"/>
        <v>13</v>
      </c>
      <c r="E19" s="24">
        <f t="shared" si="12"/>
        <v>11</v>
      </c>
      <c r="F19" s="24">
        <f t="shared" si="12"/>
        <v>11</v>
      </c>
      <c r="G19" s="24">
        <f t="shared" si="12"/>
        <v>10</v>
      </c>
      <c r="H19" s="24">
        <f t="shared" si="12"/>
        <v>0</v>
      </c>
      <c r="I19" s="16" t="s">
        <v>73</v>
      </c>
      <c r="J19" s="24">
        <f t="shared" ref="J19:O19" si="13">SUM(J7:J8,J10:J15)</f>
        <v>0</v>
      </c>
      <c r="K19" s="24">
        <f t="shared" si="13"/>
        <v>0</v>
      </c>
      <c r="L19" s="24">
        <f t="shared" si="13"/>
        <v>0</v>
      </c>
      <c r="M19" s="24">
        <f t="shared" si="13"/>
        <v>0</v>
      </c>
      <c r="N19" s="24">
        <f t="shared" si="13"/>
        <v>0</v>
      </c>
      <c r="O19" s="24">
        <f t="shared" si="13"/>
        <v>0</v>
      </c>
      <c r="P19" s="16" t="s">
        <v>73</v>
      </c>
      <c r="Q19" s="24">
        <f t="shared" ref="Q19:V19" si="14">SUM(Q7:Q8,Q10:Q15)</f>
        <v>0</v>
      </c>
      <c r="R19" s="24">
        <f t="shared" si="14"/>
        <v>0</v>
      </c>
      <c r="S19" s="24">
        <f t="shared" si="14"/>
        <v>0</v>
      </c>
      <c r="T19" s="24">
        <f t="shared" si="14"/>
        <v>0</v>
      </c>
      <c r="U19" s="24">
        <f t="shared" si="14"/>
        <v>0</v>
      </c>
      <c r="V19" s="24">
        <f t="shared" si="14"/>
        <v>0</v>
      </c>
      <c r="W19" s="16" t="s">
        <v>73</v>
      </c>
      <c r="X19" s="24">
        <f t="shared" ref="X19:AC19" si="15">SUM(X7:X8,X10:X15)</f>
        <v>0</v>
      </c>
      <c r="Y19" s="24">
        <f t="shared" si="15"/>
        <v>0</v>
      </c>
      <c r="Z19" s="24">
        <f t="shared" si="15"/>
        <v>0</v>
      </c>
      <c r="AA19" s="24">
        <f t="shared" si="15"/>
        <v>0</v>
      </c>
      <c r="AB19" s="24">
        <f t="shared" si="15"/>
        <v>0</v>
      </c>
      <c r="AC19" s="24">
        <f t="shared" si="15"/>
        <v>0</v>
      </c>
      <c r="AD19" s="16" t="s">
        <v>73</v>
      </c>
      <c r="AE19" s="24">
        <f t="shared" ref="AE19:AJ19" si="16">SUM(AE7:AE8,AE10:AE15)</f>
        <v>0</v>
      </c>
      <c r="AF19" s="24">
        <f t="shared" si="16"/>
        <v>0</v>
      </c>
      <c r="AG19" s="24">
        <f t="shared" si="16"/>
        <v>0</v>
      </c>
      <c r="AH19" s="24">
        <f t="shared" si="16"/>
        <v>0</v>
      </c>
      <c r="AI19" s="24">
        <f t="shared" si="16"/>
        <v>0</v>
      </c>
      <c r="AJ19" s="24">
        <f t="shared" si="16"/>
        <v>0</v>
      </c>
      <c r="AK19" s="16" t="s">
        <v>73</v>
      </c>
      <c r="AL19" s="24">
        <f t="shared" ref="AL19:AQ19" si="17">SUM(AL7:AL8,AL10:AL15)</f>
        <v>0</v>
      </c>
      <c r="AM19" s="24">
        <f t="shared" si="17"/>
        <v>0</v>
      </c>
      <c r="AN19" s="24">
        <f t="shared" si="17"/>
        <v>0</v>
      </c>
      <c r="AO19" s="24">
        <f t="shared" si="17"/>
        <v>0</v>
      </c>
      <c r="AP19" s="24">
        <f t="shared" si="17"/>
        <v>0</v>
      </c>
      <c r="AQ19" s="24">
        <f t="shared" si="17"/>
        <v>0</v>
      </c>
      <c r="AR19" s="16" t="s">
        <v>73</v>
      </c>
      <c r="AS19" s="24">
        <f t="shared" ref="AS19:AX19" si="18">SUM(AS7:AS8,AS10:AS15)</f>
        <v>0</v>
      </c>
      <c r="AT19" s="24">
        <f t="shared" si="18"/>
        <v>0</v>
      </c>
      <c r="AU19" s="24">
        <f t="shared" si="18"/>
        <v>0</v>
      </c>
      <c r="AV19" s="24">
        <f t="shared" si="18"/>
        <v>0</v>
      </c>
      <c r="AW19" s="24">
        <f t="shared" si="18"/>
        <v>0</v>
      </c>
      <c r="AX19" s="24">
        <f t="shared" si="18"/>
        <v>0</v>
      </c>
      <c r="AY19" s="16" t="s">
        <v>73</v>
      </c>
      <c r="AZ19" s="24">
        <f t="shared" ref="AZ19:BE19" si="19">SUM(AZ7:AZ8,AZ10:AZ15)</f>
        <v>0</v>
      </c>
      <c r="BA19" s="24">
        <f t="shared" si="19"/>
        <v>0</v>
      </c>
      <c r="BB19" s="24">
        <f t="shared" si="19"/>
        <v>0</v>
      </c>
      <c r="BC19" s="24">
        <f t="shared" si="19"/>
        <v>0</v>
      </c>
      <c r="BD19" s="24">
        <f t="shared" si="19"/>
        <v>0</v>
      </c>
      <c r="BE19" s="24">
        <f t="shared" si="19"/>
        <v>0</v>
      </c>
      <c r="BF19" s="16" t="s">
        <v>73</v>
      </c>
      <c r="BG19" s="24">
        <f t="shared" ref="BG19:BL19" si="20">SUM(BG7:BG8,BG10:BG15)</f>
        <v>0</v>
      </c>
      <c r="BH19" s="24">
        <f t="shared" si="20"/>
        <v>0</v>
      </c>
      <c r="BI19" s="24">
        <f t="shared" si="20"/>
        <v>0</v>
      </c>
      <c r="BJ19" s="24">
        <f t="shared" si="20"/>
        <v>0</v>
      </c>
      <c r="BK19" s="24">
        <f t="shared" si="20"/>
        <v>0</v>
      </c>
      <c r="BL19" s="24">
        <f t="shared" si="20"/>
        <v>0</v>
      </c>
      <c r="BM19" s="16" t="s">
        <v>73</v>
      </c>
      <c r="BN19" s="24">
        <f t="shared" ref="BN19:BS19" si="21">SUM(BN7:BN8,BN10:BN15)</f>
        <v>0</v>
      </c>
      <c r="BO19" s="24">
        <f t="shared" si="21"/>
        <v>0</v>
      </c>
      <c r="BP19" s="24">
        <f t="shared" si="21"/>
        <v>0</v>
      </c>
      <c r="BQ19" s="24">
        <f t="shared" si="21"/>
        <v>0</v>
      </c>
      <c r="BR19" s="24">
        <f t="shared" si="21"/>
        <v>0</v>
      </c>
      <c r="BS19" s="24">
        <f t="shared" si="21"/>
        <v>0</v>
      </c>
      <c r="BT19" s="16" t="s">
        <v>73</v>
      </c>
      <c r="BU19" s="24">
        <f t="shared" ref="BU19:BZ19" si="22">SUM(BU7:BU8,BU10:BU15)</f>
        <v>0</v>
      </c>
      <c r="BV19" s="24">
        <f t="shared" si="22"/>
        <v>0</v>
      </c>
      <c r="BW19" s="24">
        <f t="shared" si="22"/>
        <v>0</v>
      </c>
      <c r="BX19" s="24">
        <f t="shared" si="22"/>
        <v>0</v>
      </c>
      <c r="BY19" s="24">
        <f t="shared" si="22"/>
        <v>0</v>
      </c>
      <c r="BZ19" s="24">
        <f t="shared" si="22"/>
        <v>0</v>
      </c>
      <c r="CA19" s="16" t="s">
        <v>73</v>
      </c>
      <c r="CB19" s="24">
        <f t="shared" ref="CB19:CG19" si="23">SUM(CB7:CB8,CB10:CB15)</f>
        <v>0</v>
      </c>
      <c r="CC19" s="24">
        <f t="shared" si="23"/>
        <v>0</v>
      </c>
      <c r="CD19" s="24">
        <f t="shared" si="23"/>
        <v>0</v>
      </c>
      <c r="CE19" s="24">
        <f t="shared" si="23"/>
        <v>0</v>
      </c>
      <c r="CF19" s="24">
        <f t="shared" si="23"/>
        <v>0</v>
      </c>
      <c r="CG19" s="24">
        <f t="shared" si="23"/>
        <v>0</v>
      </c>
    </row>
    <row r="20" spans="1:85" hidden="1" x14ac:dyDescent="0.25">
      <c r="B20" s="21" t="s">
        <v>74</v>
      </c>
      <c r="C20" s="24">
        <f t="shared" ref="C20:H20" si="24">SUM(C9,C16:C17)</f>
        <v>2</v>
      </c>
      <c r="D20" s="24">
        <f t="shared" si="24"/>
        <v>2</v>
      </c>
      <c r="E20" s="24">
        <f t="shared" si="24"/>
        <v>3</v>
      </c>
      <c r="F20" s="24">
        <f t="shared" si="24"/>
        <v>1</v>
      </c>
      <c r="G20" s="24">
        <f t="shared" si="24"/>
        <v>4</v>
      </c>
      <c r="H20" s="24">
        <f t="shared" si="24"/>
        <v>10</v>
      </c>
      <c r="I20" s="16" t="s">
        <v>74</v>
      </c>
      <c r="J20" s="24">
        <f t="shared" ref="J20:O20" si="25">SUM(J9,J16:J17)</f>
        <v>0</v>
      </c>
      <c r="K20" s="24">
        <f t="shared" si="25"/>
        <v>0</v>
      </c>
      <c r="L20" s="24">
        <f t="shared" si="25"/>
        <v>0</v>
      </c>
      <c r="M20" s="24">
        <f t="shared" si="25"/>
        <v>0</v>
      </c>
      <c r="N20" s="24">
        <f t="shared" si="25"/>
        <v>0</v>
      </c>
      <c r="O20" s="24">
        <f t="shared" si="25"/>
        <v>0</v>
      </c>
      <c r="P20" s="16" t="s">
        <v>74</v>
      </c>
      <c r="Q20" s="24">
        <f t="shared" ref="Q20:V20" si="26">SUM(Q9,Q16:Q17)</f>
        <v>0</v>
      </c>
      <c r="R20" s="24">
        <f t="shared" si="26"/>
        <v>0</v>
      </c>
      <c r="S20" s="24">
        <f t="shared" si="26"/>
        <v>0</v>
      </c>
      <c r="T20" s="24">
        <f t="shared" si="26"/>
        <v>0</v>
      </c>
      <c r="U20" s="24">
        <f t="shared" si="26"/>
        <v>0</v>
      </c>
      <c r="V20" s="24">
        <f t="shared" si="26"/>
        <v>0</v>
      </c>
      <c r="W20" s="16" t="s">
        <v>74</v>
      </c>
      <c r="X20" s="24">
        <f t="shared" ref="X20:AC20" si="27">SUM(X9,X16:X17)</f>
        <v>0</v>
      </c>
      <c r="Y20" s="24">
        <f t="shared" si="27"/>
        <v>0</v>
      </c>
      <c r="Z20" s="24">
        <f t="shared" si="27"/>
        <v>0</v>
      </c>
      <c r="AA20" s="24">
        <f t="shared" si="27"/>
        <v>0</v>
      </c>
      <c r="AB20" s="24">
        <f t="shared" si="27"/>
        <v>0</v>
      </c>
      <c r="AC20" s="24">
        <f t="shared" si="27"/>
        <v>0</v>
      </c>
      <c r="AD20" s="16" t="s">
        <v>74</v>
      </c>
      <c r="AE20" s="24">
        <f t="shared" ref="AE20:AJ20" si="28">SUM(AE9,AE16:AE17)</f>
        <v>0</v>
      </c>
      <c r="AF20" s="24">
        <f t="shared" si="28"/>
        <v>0</v>
      </c>
      <c r="AG20" s="24">
        <f t="shared" si="28"/>
        <v>0</v>
      </c>
      <c r="AH20" s="24">
        <f t="shared" si="28"/>
        <v>0</v>
      </c>
      <c r="AI20" s="24">
        <f t="shared" si="28"/>
        <v>0</v>
      </c>
      <c r="AJ20" s="24">
        <f t="shared" si="28"/>
        <v>0</v>
      </c>
      <c r="AK20" s="16" t="s">
        <v>74</v>
      </c>
      <c r="AL20" s="24">
        <f t="shared" ref="AL20:AQ20" si="29">SUM(AL9,AL16:AL17)</f>
        <v>0</v>
      </c>
      <c r="AM20" s="24">
        <f t="shared" si="29"/>
        <v>0</v>
      </c>
      <c r="AN20" s="24">
        <f t="shared" si="29"/>
        <v>0</v>
      </c>
      <c r="AO20" s="24">
        <f t="shared" si="29"/>
        <v>0</v>
      </c>
      <c r="AP20" s="24">
        <f t="shared" si="29"/>
        <v>0</v>
      </c>
      <c r="AQ20" s="24">
        <f t="shared" si="29"/>
        <v>0</v>
      </c>
      <c r="AR20" s="16" t="s">
        <v>74</v>
      </c>
      <c r="AS20" s="24">
        <f t="shared" ref="AS20:AX20" si="30">SUM(AS9,AS16:AS17)</f>
        <v>0</v>
      </c>
      <c r="AT20" s="24">
        <f t="shared" si="30"/>
        <v>0</v>
      </c>
      <c r="AU20" s="24">
        <f t="shared" si="30"/>
        <v>0</v>
      </c>
      <c r="AV20" s="24">
        <f t="shared" si="30"/>
        <v>0</v>
      </c>
      <c r="AW20" s="24">
        <f t="shared" si="30"/>
        <v>0</v>
      </c>
      <c r="AX20" s="24">
        <f t="shared" si="30"/>
        <v>0</v>
      </c>
      <c r="AY20" s="16" t="s">
        <v>74</v>
      </c>
      <c r="AZ20" s="24">
        <f t="shared" ref="AZ20:BE20" si="31">SUM(AZ9,AZ16:AZ17)</f>
        <v>0</v>
      </c>
      <c r="BA20" s="24">
        <f t="shared" si="31"/>
        <v>0</v>
      </c>
      <c r="BB20" s="24">
        <f t="shared" si="31"/>
        <v>0</v>
      </c>
      <c r="BC20" s="24">
        <f t="shared" si="31"/>
        <v>0</v>
      </c>
      <c r="BD20" s="24">
        <f t="shared" si="31"/>
        <v>0</v>
      </c>
      <c r="BE20" s="24">
        <f t="shared" si="31"/>
        <v>0</v>
      </c>
      <c r="BF20" s="16" t="s">
        <v>74</v>
      </c>
      <c r="BG20" s="24">
        <f t="shared" ref="BG20:BL20" si="32">SUM(BG9,BG16:BG17)</f>
        <v>0</v>
      </c>
      <c r="BH20" s="24">
        <f t="shared" si="32"/>
        <v>0</v>
      </c>
      <c r="BI20" s="24">
        <f t="shared" si="32"/>
        <v>0</v>
      </c>
      <c r="BJ20" s="24">
        <f t="shared" si="32"/>
        <v>0</v>
      </c>
      <c r="BK20" s="24">
        <f t="shared" si="32"/>
        <v>0</v>
      </c>
      <c r="BL20" s="24">
        <f t="shared" si="32"/>
        <v>0</v>
      </c>
      <c r="BM20" s="16" t="s">
        <v>74</v>
      </c>
      <c r="BN20" s="24">
        <f t="shared" ref="BN20:BS20" si="33">SUM(BN9,BN16:BN17)</f>
        <v>0</v>
      </c>
      <c r="BO20" s="24">
        <f t="shared" si="33"/>
        <v>0</v>
      </c>
      <c r="BP20" s="24">
        <f t="shared" si="33"/>
        <v>0</v>
      </c>
      <c r="BQ20" s="24">
        <f t="shared" si="33"/>
        <v>0</v>
      </c>
      <c r="BR20" s="24">
        <f t="shared" si="33"/>
        <v>0</v>
      </c>
      <c r="BS20" s="24">
        <f t="shared" si="33"/>
        <v>0</v>
      </c>
      <c r="BT20" s="16" t="s">
        <v>74</v>
      </c>
      <c r="BU20" s="24">
        <f t="shared" ref="BU20:BZ20" si="34">SUM(BU9,BU16:BU17)</f>
        <v>0</v>
      </c>
      <c r="BV20" s="24">
        <f t="shared" si="34"/>
        <v>0</v>
      </c>
      <c r="BW20" s="24">
        <f t="shared" si="34"/>
        <v>0</v>
      </c>
      <c r="BX20" s="24">
        <f t="shared" si="34"/>
        <v>0</v>
      </c>
      <c r="BY20" s="24">
        <f t="shared" si="34"/>
        <v>0</v>
      </c>
      <c r="BZ20" s="24">
        <f t="shared" si="34"/>
        <v>0</v>
      </c>
      <c r="CA20" s="16" t="s">
        <v>74</v>
      </c>
      <c r="CB20" s="24">
        <f t="shared" ref="CB20:CG20" si="35">SUM(CB9,CB16:CB17)</f>
        <v>0</v>
      </c>
      <c r="CC20" s="24">
        <f t="shared" si="35"/>
        <v>0</v>
      </c>
      <c r="CD20" s="24">
        <f t="shared" si="35"/>
        <v>0</v>
      </c>
      <c r="CE20" s="24">
        <f t="shared" si="35"/>
        <v>0</v>
      </c>
      <c r="CF20" s="24">
        <f t="shared" si="35"/>
        <v>0</v>
      </c>
      <c r="CG20" s="24">
        <f t="shared" si="35"/>
        <v>0</v>
      </c>
    </row>
    <row r="22" spans="1:85" x14ac:dyDescent="0.25">
      <c r="B22" s="55" t="s">
        <v>45</v>
      </c>
      <c r="C22" s="55"/>
      <c r="D22" s="55" t="s">
        <v>46</v>
      </c>
      <c r="E22" s="55"/>
      <c r="F22" s="55" t="s">
        <v>47</v>
      </c>
      <c r="G22" s="55"/>
      <c r="H22" s="55" t="s">
        <v>48</v>
      </c>
      <c r="I22" s="55"/>
      <c r="J22" s="55" t="s">
        <v>49</v>
      </c>
      <c r="K22" s="55"/>
      <c r="L22" s="55" t="s">
        <v>50</v>
      </c>
      <c r="M22" s="55"/>
    </row>
    <row r="23" spans="1:85" x14ac:dyDescent="0.25">
      <c r="A23" s="54">
        <v>0</v>
      </c>
      <c r="B23" s="21" t="s">
        <v>60</v>
      </c>
      <c r="C23" s="53">
        <f>INDEX($C$19:$CG$20,1,MATCH(B$22,$C$18:$CG$18,0)+$A23)</f>
        <v>13</v>
      </c>
      <c r="E23" s="53">
        <f>INDEX($C$19:$CG$20,1,MATCH(D$22,$C$18:$CG$18,0)+$A23)</f>
        <v>13</v>
      </c>
      <c r="G23" s="53">
        <f>INDEX($C$19:$CG$20,1,MATCH(F$22,$C$18:$CG$18,0)+$A23)</f>
        <v>11</v>
      </c>
      <c r="I23" s="53">
        <f>INDEX($C$19:$CG$20,1,MATCH(H$22,$C$18:$CG$18,0)+$A23)</f>
        <v>11</v>
      </c>
      <c r="K23" s="53">
        <f>INDEX($C$19:$CG$20,1,MATCH(J$22,$C$18:$CG$18,0)+$A23)</f>
        <v>10</v>
      </c>
      <c r="M23" s="53">
        <f>INDEX($C$19:$CG$20,1,MATCH(L$22,$C$18:$CG$18,0)+$A23)</f>
        <v>0</v>
      </c>
    </row>
    <row r="24" spans="1:85" x14ac:dyDescent="0.25">
      <c r="A24" s="54">
        <f>A23+7</f>
        <v>7</v>
      </c>
      <c r="B24" s="21" t="s">
        <v>76</v>
      </c>
      <c r="C24" s="53">
        <f t="shared" ref="C24:E34" si="36">INDEX($C$19:$CG$20,1,MATCH(B$22,$C$18:$CG$18,0)+$A24)</f>
        <v>0</v>
      </c>
      <c r="E24" s="53">
        <f t="shared" si="36"/>
        <v>0</v>
      </c>
      <c r="G24" s="53">
        <f t="shared" ref="G24" si="37">INDEX($C$19:$CG$20,1,MATCH(F$22,$C$18:$CG$18,0)+$A24)</f>
        <v>0</v>
      </c>
      <c r="I24" s="53">
        <f t="shared" ref="I24:K24" si="38">INDEX($C$19:$CG$20,1,MATCH(H$22,$C$18:$CG$18,0)+$A24)</f>
        <v>0</v>
      </c>
      <c r="K24" s="53">
        <f t="shared" si="38"/>
        <v>0</v>
      </c>
      <c r="M24" s="53">
        <f t="shared" ref="M24" si="39">INDEX($C$19:$CG$20,1,MATCH(L$22,$C$18:$CG$18,0)+$A24)</f>
        <v>0</v>
      </c>
    </row>
    <row r="25" spans="1:85" x14ac:dyDescent="0.25">
      <c r="A25" s="54">
        <f t="shared" ref="A25:A34" si="40">A24+7</f>
        <v>14</v>
      </c>
      <c r="B25" s="21" t="s">
        <v>61</v>
      </c>
      <c r="C25" s="53">
        <f t="shared" si="36"/>
        <v>0</v>
      </c>
      <c r="E25" s="53">
        <f t="shared" si="36"/>
        <v>0</v>
      </c>
      <c r="G25" s="53">
        <f t="shared" ref="G25" si="41">INDEX($C$19:$CG$20,1,MATCH(F$22,$C$18:$CG$18,0)+$A25)</f>
        <v>0</v>
      </c>
      <c r="I25" s="53">
        <f t="shared" ref="I25:K25" si="42">INDEX($C$19:$CG$20,1,MATCH(H$22,$C$18:$CG$18,0)+$A25)</f>
        <v>0</v>
      </c>
      <c r="K25" s="53">
        <f t="shared" si="42"/>
        <v>0</v>
      </c>
      <c r="M25" s="53">
        <f t="shared" ref="M25" si="43">INDEX($C$19:$CG$20,1,MATCH(L$22,$C$18:$CG$18,0)+$A25)</f>
        <v>0</v>
      </c>
    </row>
    <row r="26" spans="1:85" x14ac:dyDescent="0.25">
      <c r="A26" s="54">
        <f t="shared" si="40"/>
        <v>21</v>
      </c>
      <c r="B26" s="21" t="s">
        <v>63</v>
      </c>
      <c r="C26" s="53">
        <f t="shared" si="36"/>
        <v>0</v>
      </c>
      <c r="E26" s="53">
        <f t="shared" si="36"/>
        <v>0</v>
      </c>
      <c r="G26" s="53">
        <f t="shared" ref="G26" si="44">INDEX($C$19:$CG$20,1,MATCH(F$22,$C$18:$CG$18,0)+$A26)</f>
        <v>0</v>
      </c>
      <c r="I26" s="53">
        <f t="shared" ref="I26:K26" si="45">INDEX($C$19:$CG$20,1,MATCH(H$22,$C$18:$CG$18,0)+$A26)</f>
        <v>0</v>
      </c>
      <c r="K26" s="53">
        <f t="shared" si="45"/>
        <v>0</v>
      </c>
      <c r="M26" s="53">
        <f t="shared" ref="M26" si="46">INDEX($C$19:$CG$20,1,MATCH(L$22,$C$18:$CG$18,0)+$A26)</f>
        <v>0</v>
      </c>
    </row>
    <row r="27" spans="1:85" x14ac:dyDescent="0.25">
      <c r="A27" s="54">
        <f t="shared" si="40"/>
        <v>28</v>
      </c>
      <c r="B27" s="21" t="s">
        <v>62</v>
      </c>
      <c r="C27" s="53">
        <f t="shared" si="36"/>
        <v>0</v>
      </c>
      <c r="E27" s="53">
        <f t="shared" si="36"/>
        <v>0</v>
      </c>
      <c r="G27" s="53">
        <f t="shared" ref="G27" si="47">INDEX($C$19:$CG$20,1,MATCH(F$22,$C$18:$CG$18,0)+$A27)</f>
        <v>0</v>
      </c>
      <c r="I27" s="53">
        <f t="shared" ref="I27:K27" si="48">INDEX($C$19:$CG$20,1,MATCH(H$22,$C$18:$CG$18,0)+$A27)</f>
        <v>0</v>
      </c>
      <c r="K27" s="53">
        <f t="shared" si="48"/>
        <v>0</v>
      </c>
      <c r="M27" s="53">
        <f t="shared" ref="M27" si="49">INDEX($C$19:$CG$20,1,MATCH(L$22,$C$18:$CG$18,0)+$A27)</f>
        <v>0</v>
      </c>
    </row>
    <row r="28" spans="1:85" x14ac:dyDescent="0.25">
      <c r="A28" s="54">
        <f t="shared" si="40"/>
        <v>35</v>
      </c>
      <c r="B28" s="21" t="s">
        <v>64</v>
      </c>
      <c r="C28" s="53">
        <f t="shared" si="36"/>
        <v>0</v>
      </c>
      <c r="E28" s="53">
        <f t="shared" si="36"/>
        <v>0</v>
      </c>
      <c r="G28" s="53">
        <f t="shared" ref="G28" si="50">INDEX($C$19:$CG$20,1,MATCH(F$22,$C$18:$CG$18,0)+$A28)</f>
        <v>0</v>
      </c>
      <c r="I28" s="53">
        <f t="shared" ref="I28:K28" si="51">INDEX($C$19:$CG$20,1,MATCH(H$22,$C$18:$CG$18,0)+$A28)</f>
        <v>0</v>
      </c>
      <c r="K28" s="53">
        <f t="shared" si="51"/>
        <v>0</v>
      </c>
      <c r="M28" s="53">
        <f t="shared" ref="M28" si="52">INDEX($C$19:$CG$20,1,MATCH(L$22,$C$18:$CG$18,0)+$A28)</f>
        <v>0</v>
      </c>
    </row>
    <row r="29" spans="1:85" x14ac:dyDescent="0.25">
      <c r="A29" s="54">
        <f t="shared" si="40"/>
        <v>42</v>
      </c>
      <c r="B29" s="21" t="s">
        <v>65</v>
      </c>
      <c r="C29" s="53">
        <f t="shared" si="36"/>
        <v>0</v>
      </c>
      <c r="E29" s="53">
        <f t="shared" si="36"/>
        <v>0</v>
      </c>
      <c r="G29" s="53">
        <f t="shared" ref="G29" si="53">INDEX($C$19:$CG$20,1,MATCH(F$22,$C$18:$CG$18,0)+$A29)</f>
        <v>0</v>
      </c>
      <c r="I29" s="53">
        <f t="shared" ref="I29:K29" si="54">INDEX($C$19:$CG$20,1,MATCH(H$22,$C$18:$CG$18,0)+$A29)</f>
        <v>0</v>
      </c>
      <c r="K29" s="53">
        <f t="shared" si="54"/>
        <v>0</v>
      </c>
      <c r="M29" s="53">
        <f t="shared" ref="M29" si="55">INDEX($C$19:$CG$20,1,MATCH(L$22,$C$18:$CG$18,0)+$A29)</f>
        <v>0</v>
      </c>
    </row>
    <row r="30" spans="1:85" x14ac:dyDescent="0.25">
      <c r="A30" s="54">
        <f t="shared" si="40"/>
        <v>49</v>
      </c>
      <c r="B30" s="21" t="s">
        <v>66</v>
      </c>
      <c r="C30" s="53">
        <f t="shared" si="36"/>
        <v>0</v>
      </c>
      <c r="E30" s="53">
        <f t="shared" si="36"/>
        <v>0</v>
      </c>
      <c r="G30" s="53">
        <f t="shared" ref="G30" si="56">INDEX($C$19:$CG$20,1,MATCH(F$22,$C$18:$CG$18,0)+$A30)</f>
        <v>0</v>
      </c>
      <c r="I30" s="53">
        <f t="shared" ref="I30:K30" si="57">INDEX($C$19:$CG$20,1,MATCH(H$22,$C$18:$CG$18,0)+$A30)</f>
        <v>0</v>
      </c>
      <c r="K30" s="53">
        <f t="shared" si="57"/>
        <v>0</v>
      </c>
      <c r="M30" s="53">
        <f t="shared" ref="M30" si="58">INDEX($C$19:$CG$20,1,MATCH(L$22,$C$18:$CG$18,0)+$A30)</f>
        <v>0</v>
      </c>
    </row>
    <row r="31" spans="1:85" x14ac:dyDescent="0.25">
      <c r="A31" s="54">
        <f t="shared" si="40"/>
        <v>56</v>
      </c>
      <c r="B31" s="21" t="s">
        <v>67</v>
      </c>
      <c r="C31" s="53">
        <f t="shared" si="36"/>
        <v>0</v>
      </c>
      <c r="E31" s="53">
        <f t="shared" si="36"/>
        <v>0</v>
      </c>
      <c r="G31" s="53">
        <f t="shared" ref="G31" si="59">INDEX($C$19:$CG$20,1,MATCH(F$22,$C$18:$CG$18,0)+$A31)</f>
        <v>0</v>
      </c>
      <c r="I31" s="53">
        <f t="shared" ref="I31:K31" si="60">INDEX($C$19:$CG$20,1,MATCH(H$22,$C$18:$CG$18,0)+$A31)</f>
        <v>0</v>
      </c>
      <c r="K31" s="53">
        <f t="shared" si="60"/>
        <v>0</v>
      </c>
      <c r="M31" s="53">
        <f t="shared" ref="M31" si="61">INDEX($C$19:$CG$20,1,MATCH(L$22,$C$18:$CG$18,0)+$A31)</f>
        <v>0</v>
      </c>
    </row>
    <row r="32" spans="1:85" x14ac:dyDescent="0.25">
      <c r="A32" s="54">
        <f t="shared" si="40"/>
        <v>63</v>
      </c>
      <c r="B32" s="21" t="s">
        <v>68</v>
      </c>
      <c r="C32" s="53">
        <f t="shared" si="36"/>
        <v>0</v>
      </c>
      <c r="E32" s="53">
        <f t="shared" si="36"/>
        <v>0</v>
      </c>
      <c r="G32" s="53">
        <f t="shared" ref="G32" si="62">INDEX($C$19:$CG$20,1,MATCH(F$22,$C$18:$CG$18,0)+$A32)</f>
        <v>0</v>
      </c>
      <c r="I32" s="53">
        <f t="shared" ref="I32:K32" si="63">INDEX($C$19:$CG$20,1,MATCH(H$22,$C$18:$CG$18,0)+$A32)</f>
        <v>0</v>
      </c>
      <c r="K32" s="53">
        <f t="shared" si="63"/>
        <v>0</v>
      </c>
      <c r="M32" s="53">
        <f t="shared" ref="M32" si="64">INDEX($C$19:$CG$20,1,MATCH(L$22,$C$18:$CG$18,0)+$A32)</f>
        <v>0</v>
      </c>
    </row>
    <row r="33" spans="1:13" x14ac:dyDescent="0.25">
      <c r="A33" s="54">
        <f t="shared" si="40"/>
        <v>70</v>
      </c>
      <c r="B33" s="21" t="s">
        <v>69</v>
      </c>
      <c r="C33" s="53">
        <f t="shared" si="36"/>
        <v>0</v>
      </c>
      <c r="E33" s="53">
        <f t="shared" si="36"/>
        <v>0</v>
      </c>
      <c r="G33" s="53">
        <f t="shared" ref="G33" si="65">INDEX($C$19:$CG$20,1,MATCH(F$22,$C$18:$CG$18,0)+$A33)</f>
        <v>0</v>
      </c>
      <c r="I33" s="53">
        <f t="shared" ref="I33:K33" si="66">INDEX($C$19:$CG$20,1,MATCH(H$22,$C$18:$CG$18,0)+$A33)</f>
        <v>0</v>
      </c>
      <c r="K33" s="53">
        <f t="shared" si="66"/>
        <v>0</v>
      </c>
      <c r="M33" s="53">
        <f t="shared" ref="M33" si="67">INDEX($C$19:$CG$20,1,MATCH(L$22,$C$18:$CG$18,0)+$A33)</f>
        <v>0</v>
      </c>
    </row>
    <row r="34" spans="1:13" x14ac:dyDescent="0.25">
      <c r="A34" s="54">
        <f t="shared" si="40"/>
        <v>77</v>
      </c>
      <c r="B34" s="21" t="s">
        <v>70</v>
      </c>
      <c r="C34" s="53">
        <f t="shared" si="36"/>
        <v>0</v>
      </c>
      <c r="E34" s="53">
        <f t="shared" si="36"/>
        <v>0</v>
      </c>
      <c r="G34" s="53">
        <f t="shared" ref="G34" si="68">INDEX($C$19:$CG$20,1,MATCH(F$22,$C$18:$CG$18,0)+$A34)</f>
        <v>0</v>
      </c>
      <c r="I34" s="53">
        <f t="shared" ref="I34:K34" si="69">INDEX($C$19:$CG$20,1,MATCH(H$22,$C$18:$CG$18,0)+$A34)</f>
        <v>0</v>
      </c>
      <c r="K34" s="53">
        <f t="shared" si="69"/>
        <v>0</v>
      </c>
      <c r="M34" s="53">
        <f t="shared" ref="M34" si="70">INDEX($C$19:$CG$20,1,MATCH(L$22,$C$18:$CG$18,0)+$A34)</f>
        <v>0</v>
      </c>
    </row>
  </sheetData>
  <sheetProtection autoFilter="0"/>
  <customSheetViews>
    <customSheetView guid="{1E4C9977-CDC2-47DA-8360-1A4470857937}" scale="80" fitToPage="1" showAutoFilter="1">
      <pane xSplit="4" ySplit="5" topLeftCell="E6" activePane="bottomRight" state="frozen"/>
      <selection pane="bottomRight" activeCell="C8" sqref="C8"/>
      <pageMargins left="0.25" right="0.25" top="0.75" bottom="0.75" header="0.3" footer="0.3"/>
      <pageSetup paperSize="9" scale="10" orientation="portrait" r:id="rId1"/>
      <autoFilter ref="B5:D9"/>
    </customSheetView>
    <customSheetView guid="{287A9710-F224-4DCC-92E7-79CAACB58A82}" scale="80" fitToPage="1" showAutoFilter="1">
      <pane xSplit="4" ySplit="5" topLeftCell="E6" activePane="bottomRight" state="frozen"/>
      <selection pane="bottomRight" activeCell="CR24" sqref="CR24"/>
      <pageMargins left="0.25" right="0.25" top="0.75" bottom="0.75" header="0.3" footer="0.3"/>
      <pageSetup paperSize="9" scale="10" orientation="portrait" r:id="rId2"/>
      <autoFilter ref="B5:D9"/>
    </customSheetView>
    <customSheetView guid="{A3E93A13-6580-4EF4-A4F4-77F167CF62A1}" scale="80" fitToPage="1" showAutoFilter="1">
      <pane xSplit="4" ySplit="5" topLeftCell="E6" activePane="bottomRight" state="frozen"/>
      <selection pane="bottomRight" activeCell="CR24" sqref="CR24"/>
      <pageMargins left="0.25" right="0.25" top="0.75" bottom="0.75" header="0.3" footer="0.3"/>
      <pageSetup paperSize="9" scale="10" orientation="portrait" r:id="rId3"/>
      <autoFilter ref="B5:D9"/>
    </customSheetView>
    <customSheetView guid="{3D2989F4-92E8-478F-9E1D-CB2A41F86DEF}" scale="80" fitToPage="1" showAutoFilter="1">
      <pane xSplit="5" ySplit="5" topLeftCell="BX6" activePane="bottomRight" state="frozen"/>
      <selection pane="bottomRight" activeCell="CC15" sqref="CC15"/>
      <pageMargins left="0.25" right="0.25" top="0.75" bottom="0.75" header="0.3" footer="0.3"/>
      <pageSetup paperSize="9" scale="10" orientation="portrait" r:id="rId4"/>
      <autoFilter ref="B5:D9"/>
    </customSheetView>
    <customSheetView guid="{6A9C14BD-D812-4690-9856-B0A58DFCA856}" scale="80" fitToPage="1" showAutoFilter="1">
      <pane xSplit="5" ySplit="5" topLeftCell="AT6" activePane="bottomRight" state="frozen"/>
      <selection pane="bottomRight" activeCell="X6" sqref="X6"/>
      <pageMargins left="0.25" right="0.25" top="0.75" bottom="0.75" header="0.3" footer="0.3"/>
      <pageSetup paperSize="9" scale="10" orientation="portrait" r:id="rId5"/>
      <autoFilter ref="B5:D9"/>
    </customSheetView>
    <customSheetView guid="{0D234563-961F-4340-A7C2-B1B00F1A986F}" scale="80" fitToPage="1" showAutoFilter="1">
      <pane xSplit="4" ySplit="5" topLeftCell="BE6" activePane="bottomRight" state="frozen"/>
      <selection pane="bottomRight" activeCell="BE1" sqref="BE1:BE1048576"/>
      <pageMargins left="0.25" right="0.25" top="0.75" bottom="0.75" header="0.3" footer="0.3"/>
      <pageSetup paperSize="9" scale="10" orientation="portrait" r:id="rId6"/>
      <autoFilter ref="B5:D9"/>
    </customSheetView>
    <customSheetView guid="{234CA469-B348-488A-9050-070FD2EA4F92}" scale="80" fitToPage="1" showAutoFilter="1">
      <pane xSplit="5" ySplit="5" topLeftCell="F6" activePane="bottomRight" state="frozen"/>
      <selection pane="bottomRight" activeCell="D23" sqref="D23"/>
      <pageMargins left="0.25" right="0.25" top="0.75" bottom="0.75" header="0.3" footer="0.3"/>
      <pageSetup paperSize="9" scale="10" orientation="portrait" r:id="rId7"/>
      <autoFilter ref="B5:D9"/>
    </customSheetView>
    <customSheetView guid="{A120A56F-B6C5-411F-8482-438AA4BED783}" scale="80" fitToPage="1" showAutoFilter="1">
      <pane xSplit="4" ySplit="5" topLeftCell="BE6" activePane="bottomRight" state="frozen"/>
      <selection pane="bottomRight" activeCell="BE1" sqref="BE1:BE1048576"/>
      <pageMargins left="0.25" right="0.25" top="0.75" bottom="0.75" header="0.3" footer="0.3"/>
      <pageSetup paperSize="9" scale="10" orientation="portrait" r:id="rId8"/>
      <autoFilter ref="B5:D9"/>
    </customSheetView>
    <customSheetView guid="{FA7B5DDB-F8C6-48B0-BF01-F7DE9F5AAE96}" scale="80" fitToPage="1" showAutoFilter="1">
      <pane xSplit="5" ySplit="5" topLeftCell="W6" activePane="bottomRight" state="frozen"/>
      <selection pane="bottomRight" activeCell="A7" sqref="A7"/>
      <pageMargins left="0.25" right="0.25" top="0.75" bottom="0.75" header="0.3" footer="0.3"/>
      <pageSetup paperSize="9" scale="10" orientation="portrait" r:id="rId9"/>
      <autoFilter ref="B5:D9"/>
    </customSheetView>
    <customSheetView guid="{EA1E9057-25B0-4457-8283-417E06BAD910}" scale="80" fitToPage="1" showAutoFilter="1">
      <pane xSplit="5" ySplit="5" topLeftCell="W6" activePane="bottomRight" state="frozen"/>
      <selection pane="bottomRight" activeCell="X6" sqref="X6"/>
      <pageMargins left="0.25" right="0.25" top="0.75" bottom="0.75" header="0.3" footer="0.3"/>
      <pageSetup paperSize="9" scale="10" orientation="portrait" r:id="rId10"/>
      <autoFilter ref="B5:D9"/>
    </customSheetView>
    <customSheetView guid="{4BACAB9D-CA8C-42C5-974B-6E3240B85042}" scale="80" fitToPage="1" showAutoFilter="1">
      <pane xSplit="5" ySplit="5" topLeftCell="CE6" activePane="bottomRight" state="frozen"/>
      <selection pane="bottomRight" activeCell="CF9" sqref="CF9"/>
      <pageMargins left="0.25" right="0.25" top="0.75" bottom="0.75" header="0.3" footer="0.3"/>
      <pageSetup paperSize="9" scale="10" orientation="portrait" r:id="rId11"/>
      <autoFilter ref="B5:D9"/>
    </customSheetView>
    <customSheetView guid="{78977BDA-7BC3-48D5-902B-805B2FEDB45E}" scale="80" fitToPage="1" showAutoFilter="1">
      <pane xSplit="4" ySplit="5" topLeftCell="W6" activePane="bottomRight" state="frozen"/>
      <selection pane="bottomRight" activeCell="AB9" sqref="AB9"/>
      <pageMargins left="0.25" right="0.25" top="0.75" bottom="0.75" header="0.3" footer="0.3"/>
      <pageSetup paperSize="9" scale="10" orientation="portrait" r:id="rId12"/>
      <autoFilter ref="B5:D9"/>
    </customSheetView>
    <customSheetView guid="{B38B8808-E606-40E6-B441-1BC7235E6DC1}" scale="80" fitToPage="1" showAutoFilter="1">
      <pane xSplit="5" ySplit="5" topLeftCell="W6" activePane="bottomRight" state="frozen"/>
      <selection pane="bottomRight" activeCell="X6" sqref="X6"/>
      <pageMargins left="0.25" right="0.25" top="0.75" bottom="0.75" header="0.3" footer="0.3"/>
      <pageSetup paperSize="9" scale="10" orientation="portrait" r:id="rId13"/>
      <autoFilter ref="B5:D9"/>
    </customSheetView>
    <customSheetView guid="{660C4B08-3535-480E-8354-4040D10FDF58}" scale="80" fitToPage="1" showAutoFilter="1">
      <pane xSplit="5" ySplit="5" topLeftCell="W6" activePane="bottomRight" state="frozen"/>
      <selection pane="bottomRight" activeCell="A7" sqref="A7"/>
      <pageMargins left="0.25" right="0.25" top="0.75" bottom="0.75" header="0.3" footer="0.3"/>
      <pageSetup paperSize="9" scale="10" orientation="portrait" r:id="rId14"/>
      <autoFilter ref="B5:D9"/>
    </customSheetView>
    <customSheetView guid="{E75D1A4B-F6A4-43E9-BC3C-D585E17FF374}" scale="80" fitToPage="1" showAutoFilter="1">
      <pane xSplit="5" ySplit="5" topLeftCell="W6" activePane="bottomRight" state="frozen"/>
      <selection pane="bottomRight" activeCell="A7" sqref="A7"/>
      <pageMargins left="0.25" right="0.25" top="0.75" bottom="0.75" header="0.3" footer="0.3"/>
      <pageSetup paperSize="9" scale="10" orientation="portrait" r:id="rId15"/>
      <autoFilter ref="B5:D9"/>
    </customSheetView>
    <customSheetView guid="{C9158A86-6947-4114-90BA-0088DCE68930}" scale="80" fitToPage="1" showAutoFilter="1">
      <pane xSplit="5" ySplit="5" topLeftCell="W6" activePane="bottomRight" state="frozen"/>
      <selection pane="bottomRight" activeCell="X6" sqref="X6"/>
      <pageMargins left="0.25" right="0.25" top="0.75" bottom="0.75" header="0.3" footer="0.3"/>
      <pageSetup paperSize="9" scale="10" orientation="portrait" r:id="rId16"/>
      <autoFilter ref="B5:D9"/>
    </customSheetView>
    <customSheetView guid="{B156E80A-C1F3-433F-99B4-E8296E36DB3B}" scale="80" fitToPage="1" showAutoFilter="1">
      <pane xSplit="4" ySplit="5" topLeftCell="W6" activePane="bottomRight" state="frozen"/>
      <selection pane="bottomRight" activeCell="X6" sqref="X6"/>
      <pageMargins left="0.25" right="0.25" top="0.75" bottom="0.75" header="0.3" footer="0.3"/>
      <pageSetup paperSize="9" scale="10" orientation="portrait" r:id="rId17"/>
      <autoFilter ref="B5:D9"/>
    </customSheetView>
    <customSheetView guid="{70F554AA-3084-451F-A981-EDDA33142170}" scale="80" fitToPage="1" showAutoFilter="1">
      <pane xSplit="4" ySplit="5" topLeftCell="W6" activePane="bottomRight" state="frozen"/>
      <selection pane="bottomRight" activeCell="X6" sqref="X6"/>
      <pageMargins left="0.25" right="0.25" top="0.75" bottom="0.75" header="0.3" footer="0.3"/>
      <pageSetup paperSize="9" scale="10" orientation="portrait" r:id="rId18"/>
      <autoFilter ref="B5:D9"/>
    </customSheetView>
    <customSheetView guid="{76CF81FB-8C12-4F24-A411-E8C9C288A8CD}" scale="80" fitToPage="1" showAutoFilter="1">
      <pane xSplit="5" ySplit="5" topLeftCell="F6" activePane="bottomRight" state="frozen"/>
      <selection pane="bottomRight" activeCell="D9" sqref="D9"/>
      <pageMargins left="0.25" right="0.25" top="0.75" bottom="0.75" header="0.3" footer="0.3"/>
      <pageSetup paperSize="9" scale="10" orientation="portrait" r:id="rId19"/>
      <autoFilter ref="B5:D9"/>
    </customSheetView>
    <customSheetView guid="{C514F366-F7A3-4F20-B2E3-992AA09FAEF9}" scale="80" fitToPage="1" showAutoFilter="1">
      <pane xSplit="4" ySplit="5" topLeftCell="P6" activePane="bottomRight" state="frozen"/>
      <selection pane="bottomRight" activeCell="C8" sqref="C8"/>
      <pageMargins left="0.25" right="0.25" top="0.75" bottom="0.75" header="0.3" footer="0.3"/>
      <pageSetup paperSize="9" scale="10" orientation="portrait" r:id="rId20"/>
      <autoFilter ref="B5:D9"/>
    </customSheetView>
    <customSheetView guid="{96804FD3-42F0-4175-B0A8-ACF3D4DD17DB}" scale="80" fitToPage="1" showAutoFilter="1">
      <pane xSplit="4" ySplit="5" topLeftCell="E6" activePane="bottomRight" state="frozen"/>
      <selection pane="bottomRight" activeCell="C8" sqref="C8"/>
      <pageMargins left="0.25" right="0.25" top="0.75" bottom="0.75" header="0.3" footer="0.3"/>
      <pageSetup paperSize="9" scale="10" orientation="portrait" r:id="rId21"/>
      <autoFilter ref="B5:D9"/>
    </customSheetView>
  </customSheetViews>
  <mergeCells count="7">
    <mergeCell ref="L22:M22"/>
    <mergeCell ref="B1:W1"/>
    <mergeCell ref="B22:C22"/>
    <mergeCell ref="D22:E22"/>
    <mergeCell ref="F22:G22"/>
    <mergeCell ref="H22:I22"/>
    <mergeCell ref="J22:K22"/>
  </mergeCells>
  <pageMargins left="0.25" right="0.25" top="0.75" bottom="0.75" header="0.3" footer="0.3"/>
  <pageSetup paperSize="9" scale="10" orientation="portrait" r:id="rId22"/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tabSelected="1" zoomScale="80" zoomScaleNormal="80" workbookViewId="0">
      <pane xSplit="5" ySplit="6" topLeftCell="BQ7" activePane="bottomRight" state="frozen"/>
      <selection activeCell="D53" sqref="D53"/>
      <selection pane="topRight" activeCell="D53" sqref="D53"/>
      <selection pane="bottomLeft" activeCell="D53" sqref="D53"/>
      <selection pane="bottomRight" activeCell="BY11" sqref="BY11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Janeiro/2020 -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Quarta-Feira</v>
      </c>
      <c r="G3" s="18" t="str">
        <f>F5</f>
        <v>Quarta-Feira</v>
      </c>
      <c r="H3" s="18" t="str">
        <f>F5</f>
        <v>Quarta-Feira</v>
      </c>
      <c r="I3" s="18" t="str">
        <f>I5</f>
        <v>Quinta-Feira</v>
      </c>
      <c r="J3" s="6" t="str">
        <f>I5</f>
        <v>Quinta-Feira</v>
      </c>
      <c r="K3" s="6" t="str">
        <f>I5</f>
        <v>Quinta-Feira</v>
      </c>
      <c r="L3" s="6" t="str">
        <f t="shared" ref="L3" si="0">L5</f>
        <v>Sexta-Feira</v>
      </c>
      <c r="M3" s="6" t="str">
        <f t="shared" ref="M3" si="1">L5</f>
        <v>Sexta-Feira</v>
      </c>
      <c r="N3" s="6" t="str">
        <f t="shared" ref="N3" si="2">L5</f>
        <v>Sexta-Feira</v>
      </c>
      <c r="O3" s="6" t="str">
        <f t="shared" ref="O3" si="3">O5</f>
        <v>Sábado</v>
      </c>
      <c r="P3" s="6" t="str">
        <f t="shared" ref="P3" si="4">O5</f>
        <v>Sábado</v>
      </c>
      <c r="Q3" s="6" t="str">
        <f t="shared" ref="Q3" si="5">O5</f>
        <v>Sábado</v>
      </c>
      <c r="R3" s="6" t="str">
        <f t="shared" ref="R3" si="6">R5</f>
        <v>Domingo</v>
      </c>
      <c r="S3" s="6" t="str">
        <f t="shared" ref="S3" si="7">R5</f>
        <v>Domingo</v>
      </c>
      <c r="T3" s="6" t="str">
        <f t="shared" ref="T3" si="8">R5</f>
        <v>Domingo</v>
      </c>
      <c r="U3" s="6" t="str">
        <f t="shared" ref="U3" si="9">U5</f>
        <v>Segunda-Feira</v>
      </c>
      <c r="V3" s="6" t="str">
        <f t="shared" ref="V3" si="10">U5</f>
        <v>Segunda-Feira</v>
      </c>
      <c r="W3" s="6" t="str">
        <f t="shared" ref="W3" si="11">U5</f>
        <v>Segunda-Feira</v>
      </c>
      <c r="X3" s="6" t="str">
        <f t="shared" ref="X3" si="12">X5</f>
        <v>Terça-Feira</v>
      </c>
      <c r="Y3" s="6" t="str">
        <f t="shared" ref="Y3" si="13">X5</f>
        <v>Terça-Feira</v>
      </c>
      <c r="Z3" s="6" t="str">
        <f t="shared" ref="Z3" si="14">X5</f>
        <v>Terça-Feira</v>
      </c>
      <c r="AA3" s="6" t="str">
        <f t="shared" ref="AA3" si="15">AA5</f>
        <v>Quarta-Feira</v>
      </c>
      <c r="AB3" s="6" t="str">
        <f t="shared" ref="AB3" si="16">AA5</f>
        <v>Quarta-Feira</v>
      </c>
      <c r="AC3" s="6" t="str">
        <f t="shared" ref="AC3" si="17">AA5</f>
        <v>Quarta-Feira</v>
      </c>
      <c r="AD3" s="6" t="str">
        <f t="shared" ref="AD3" si="18">AD5</f>
        <v>Quinta-Feira</v>
      </c>
      <c r="AE3" s="6" t="str">
        <f t="shared" ref="AE3" si="19">AD5</f>
        <v>Quinta-Feira</v>
      </c>
      <c r="AF3" s="6" t="str">
        <f t="shared" ref="AF3" si="20">AD5</f>
        <v>Quinta-Feira</v>
      </c>
      <c r="AG3" s="6" t="str">
        <f t="shared" ref="AG3" si="21">AG5</f>
        <v>Sexta-Feira</v>
      </c>
      <c r="AH3" s="6" t="str">
        <f t="shared" ref="AH3" si="22">AG5</f>
        <v>Sexta-Feira</v>
      </c>
      <c r="AI3" s="6" t="str">
        <f t="shared" ref="AI3" si="23">AG5</f>
        <v>Sexta-Feira</v>
      </c>
      <c r="AJ3" s="6" t="str">
        <f t="shared" ref="AJ3" si="24">AJ5</f>
        <v>Sábado</v>
      </c>
      <c r="AK3" s="6" t="str">
        <f t="shared" ref="AK3" si="25">AJ5</f>
        <v>Sábado</v>
      </c>
      <c r="AL3" s="6" t="str">
        <f t="shared" ref="AL3" si="26">AJ5</f>
        <v>Sábado</v>
      </c>
      <c r="AM3" s="6" t="str">
        <f t="shared" ref="AM3" si="27">AM5</f>
        <v>Domingo</v>
      </c>
      <c r="AN3" s="6" t="str">
        <f t="shared" ref="AN3" si="28">AM5</f>
        <v>Domingo</v>
      </c>
      <c r="AO3" s="6" t="str">
        <f t="shared" ref="AO3" si="29">AM5</f>
        <v>Domingo</v>
      </c>
      <c r="AP3" s="6" t="str">
        <f t="shared" ref="AP3" si="30">AP5</f>
        <v>Segunda-Feira</v>
      </c>
      <c r="AQ3" s="6" t="str">
        <f t="shared" ref="AQ3" si="31">AP5</f>
        <v>Segunda-Feira</v>
      </c>
      <c r="AR3" s="6" t="str">
        <f t="shared" ref="AR3" si="32">AP5</f>
        <v>Segunda-Feira</v>
      </c>
      <c r="AS3" s="6" t="str">
        <f t="shared" ref="AS3" si="33">AS5</f>
        <v>Terça-Feira</v>
      </c>
      <c r="AT3" s="6" t="str">
        <f t="shared" ref="AT3" si="34">AS5</f>
        <v>Terça-Feira</v>
      </c>
      <c r="AU3" s="6" t="str">
        <f t="shared" ref="AU3" si="35">AS5</f>
        <v>Terça-Feira</v>
      </c>
      <c r="AV3" s="6" t="str">
        <f t="shared" ref="AV3" si="36">AV5</f>
        <v>Quarta-Feira</v>
      </c>
      <c r="AW3" s="6" t="str">
        <f t="shared" ref="AW3" si="37">AV5</f>
        <v>Quarta-Feira</v>
      </c>
      <c r="AX3" s="6" t="str">
        <f t="shared" ref="AX3" si="38">AV5</f>
        <v>Quarta-Feira</v>
      </c>
      <c r="AY3" s="6" t="str">
        <f t="shared" ref="AY3" si="39">AY5</f>
        <v>Quinta-Feira</v>
      </c>
      <c r="AZ3" s="6" t="str">
        <f t="shared" ref="AZ3" si="40">AY5</f>
        <v>Quinta-Feira</v>
      </c>
      <c r="BA3" s="6" t="str">
        <f t="shared" ref="BA3" si="41">AY5</f>
        <v>Quinta-Feira</v>
      </c>
      <c r="BB3" s="6" t="str">
        <f t="shared" ref="BB3" si="42">BB5</f>
        <v>Sexta-Feira</v>
      </c>
      <c r="BC3" s="6" t="str">
        <f t="shared" ref="BC3" si="43">BB5</f>
        <v>Sexta-Feira</v>
      </c>
      <c r="BD3" s="6" t="str">
        <f t="shared" ref="BD3" si="44">BB5</f>
        <v>Sexta-Feira</v>
      </c>
      <c r="BE3" s="6" t="str">
        <f t="shared" ref="BE3" si="45">BE5</f>
        <v>Sábado</v>
      </c>
      <c r="BF3" s="6" t="str">
        <f t="shared" ref="BF3" si="46">BE5</f>
        <v>Sábado</v>
      </c>
      <c r="BG3" s="6" t="str">
        <f t="shared" ref="BG3" si="47">BE5</f>
        <v>Sábado</v>
      </c>
      <c r="BH3" s="6" t="str">
        <f t="shared" ref="BH3" si="48">BH5</f>
        <v>Domingo</v>
      </c>
      <c r="BI3" s="6" t="str">
        <f t="shared" ref="BI3" si="49">BH5</f>
        <v>Domingo</v>
      </c>
      <c r="BJ3" s="6" t="str">
        <f t="shared" ref="BJ3" si="50">BH5</f>
        <v>Domingo</v>
      </c>
      <c r="BK3" s="6" t="str">
        <f t="shared" ref="BK3" si="51">BK5</f>
        <v>Segunda-Feira</v>
      </c>
      <c r="BL3" s="6" t="str">
        <f t="shared" ref="BL3" si="52">BK5</f>
        <v>Segunda-Feira</v>
      </c>
      <c r="BM3" s="6" t="str">
        <f t="shared" ref="BM3" si="53">BK5</f>
        <v>Segunda-Feira</v>
      </c>
      <c r="BN3" s="6" t="str">
        <f t="shared" ref="BN3" si="54">BN5</f>
        <v>Terça-Feira</v>
      </c>
      <c r="BO3" s="6" t="str">
        <f t="shared" ref="BO3" si="55">BN5</f>
        <v>Terça-Feira</v>
      </c>
      <c r="BP3" s="6" t="str">
        <f t="shared" ref="BP3" si="56">BN5</f>
        <v>Terça-Feira</v>
      </c>
      <c r="BQ3" s="6" t="str">
        <f t="shared" ref="BQ3" si="57">BQ5</f>
        <v>Quarta-Feira</v>
      </c>
      <c r="BR3" s="6" t="str">
        <f t="shared" ref="BR3" si="58">BQ5</f>
        <v>Quarta-Feira</v>
      </c>
      <c r="BS3" s="6" t="str">
        <f t="shared" ref="BS3" si="59">BQ5</f>
        <v>Quarta-Feira</v>
      </c>
      <c r="BT3" s="6" t="str">
        <f t="shared" ref="BT3" si="60">BT5</f>
        <v>Quinta-Feira</v>
      </c>
      <c r="BU3" s="6" t="str">
        <f t="shared" ref="BU3" si="61">BT5</f>
        <v>Quinta-Feira</v>
      </c>
      <c r="BV3" s="6" t="str">
        <f t="shared" ref="BV3" si="62">BT5</f>
        <v>Quinta-Feira</v>
      </c>
      <c r="BW3" s="6" t="str">
        <f t="shared" ref="BW3" si="63">BW5</f>
        <v>Sexta-Feira</v>
      </c>
      <c r="BX3" s="6" t="str">
        <f t="shared" ref="BX3" si="64">BW5</f>
        <v>Sexta-Feira</v>
      </c>
      <c r="BY3" s="6" t="str">
        <f t="shared" ref="BY3" si="65">BW5</f>
        <v>Sexta-Feira</v>
      </c>
      <c r="BZ3" s="6" t="str">
        <f t="shared" ref="BZ3" si="66">BZ5</f>
        <v>Sábado</v>
      </c>
      <c r="CA3" s="6" t="str">
        <f t="shared" ref="CA3" si="67">BZ5</f>
        <v>Sábado</v>
      </c>
      <c r="CB3" s="6" t="str">
        <f t="shared" ref="CB3" si="68">BZ5</f>
        <v>Sábado</v>
      </c>
      <c r="CC3" s="6" t="str">
        <f t="shared" ref="CC3" si="69">CC5</f>
        <v>Domingo</v>
      </c>
      <c r="CD3" s="6" t="str">
        <f t="shared" ref="CD3" si="70">CC5</f>
        <v>Domingo</v>
      </c>
      <c r="CE3" s="6" t="str">
        <f t="shared" ref="CE3" si="71">CC5</f>
        <v>Domingo</v>
      </c>
      <c r="CF3" s="6" t="str">
        <f t="shared" ref="CF3" si="72">CF5</f>
        <v>Segunda-Feira</v>
      </c>
      <c r="CG3" s="6" t="str">
        <f t="shared" ref="CG3" si="73">CF5</f>
        <v>Segunda-Feira</v>
      </c>
      <c r="CH3" s="6" t="str">
        <f t="shared" ref="CH3" si="74">CF5</f>
        <v>Segunda-Feira</v>
      </c>
      <c r="CI3" s="6" t="str">
        <f t="shared" ref="CI3" si="75">CI5</f>
        <v>Terça-Feira</v>
      </c>
      <c r="CJ3" s="6" t="str">
        <f t="shared" ref="CJ3" si="76">CI5</f>
        <v>Terça-Feira</v>
      </c>
      <c r="CK3" s="6" t="str">
        <f t="shared" ref="CK3" si="77">CI5</f>
        <v>Terça-Feira</v>
      </c>
      <c r="CL3" s="6" t="str">
        <f t="shared" ref="CL3" si="78">CL5</f>
        <v>Quarta-Feira</v>
      </c>
      <c r="CM3" s="6" t="str">
        <f t="shared" ref="CM3" si="79">CL5</f>
        <v>Quarta-Feira</v>
      </c>
      <c r="CN3" s="6" t="str">
        <f t="shared" ref="CN3" si="80">CL5</f>
        <v>Quarta-Feira</v>
      </c>
      <c r="CO3" s="6" t="str">
        <f t="shared" ref="CO3" si="81">CO5</f>
        <v>Quinta-Feira</v>
      </c>
      <c r="CP3" s="6" t="str">
        <f t="shared" ref="CP3" si="82">CO5</f>
        <v>Quinta-Feira</v>
      </c>
      <c r="CQ3" s="6" t="str">
        <f t="shared" ref="CQ3" si="83">CO5</f>
        <v>Quinta-Feira</v>
      </c>
      <c r="CR3" s="6" t="str">
        <f t="shared" ref="CR3" si="84">CR5</f>
        <v>Sexta-Feira</v>
      </c>
      <c r="CS3" s="6" t="str">
        <f t="shared" ref="CS3" si="85">CR5</f>
        <v>Sexta-Feira</v>
      </c>
      <c r="CT3" s="6" t="str">
        <f t="shared" ref="CT3" si="86">CR5</f>
        <v>Sexta-Feira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43831</v>
      </c>
      <c r="G4" s="66"/>
      <c r="H4" s="67"/>
      <c r="I4" s="65">
        <f>F4+1</f>
        <v>43832</v>
      </c>
      <c r="J4" s="66"/>
      <c r="K4" s="67"/>
      <c r="L4" s="65">
        <f t="shared" ref="L4" si="87">I4+1</f>
        <v>43833</v>
      </c>
      <c r="M4" s="66"/>
      <c r="N4" s="67"/>
      <c r="O4" s="65">
        <f t="shared" ref="O4" si="88">L4+1</f>
        <v>43834</v>
      </c>
      <c r="P4" s="66"/>
      <c r="Q4" s="67"/>
      <c r="R4" s="65">
        <f t="shared" ref="R4" si="89">O4+1</f>
        <v>43835</v>
      </c>
      <c r="S4" s="66"/>
      <c r="T4" s="67"/>
      <c r="U4" s="65">
        <f t="shared" ref="U4" si="90">R4+1</f>
        <v>43836</v>
      </c>
      <c r="V4" s="66"/>
      <c r="W4" s="67"/>
      <c r="X4" s="65">
        <f t="shared" ref="X4" si="91">U4+1</f>
        <v>43837</v>
      </c>
      <c r="Y4" s="66"/>
      <c r="Z4" s="67"/>
      <c r="AA4" s="65">
        <f t="shared" ref="AA4" si="92">X4+1</f>
        <v>43838</v>
      </c>
      <c r="AB4" s="66"/>
      <c r="AC4" s="67"/>
      <c r="AD4" s="65">
        <f t="shared" ref="AD4" si="93">AA4+1</f>
        <v>43839</v>
      </c>
      <c r="AE4" s="66"/>
      <c r="AF4" s="67"/>
      <c r="AG4" s="65">
        <f t="shared" ref="AG4" si="94">AD4+1</f>
        <v>43840</v>
      </c>
      <c r="AH4" s="66"/>
      <c r="AI4" s="67"/>
      <c r="AJ4" s="65">
        <f t="shared" ref="AJ4" si="95">AG4+1</f>
        <v>43841</v>
      </c>
      <c r="AK4" s="66"/>
      <c r="AL4" s="67"/>
      <c r="AM4" s="65">
        <f t="shared" ref="AM4" si="96">AJ4+1</f>
        <v>43842</v>
      </c>
      <c r="AN4" s="66"/>
      <c r="AO4" s="67"/>
      <c r="AP4" s="65">
        <f t="shared" ref="AP4" si="97">AM4+1</f>
        <v>43843</v>
      </c>
      <c r="AQ4" s="66"/>
      <c r="AR4" s="67"/>
      <c r="AS4" s="65">
        <f t="shared" ref="AS4" si="98">AP4+1</f>
        <v>43844</v>
      </c>
      <c r="AT4" s="66"/>
      <c r="AU4" s="67"/>
      <c r="AV4" s="65">
        <f t="shared" ref="AV4" si="99">AS4+1</f>
        <v>43845</v>
      </c>
      <c r="AW4" s="66"/>
      <c r="AX4" s="67"/>
      <c r="AY4" s="65">
        <f t="shared" ref="AY4" si="100">AV4+1</f>
        <v>43846</v>
      </c>
      <c r="AZ4" s="66"/>
      <c r="BA4" s="67"/>
      <c r="BB4" s="65">
        <f t="shared" ref="BB4" si="101">AY4+1</f>
        <v>43847</v>
      </c>
      <c r="BC4" s="66"/>
      <c r="BD4" s="67"/>
      <c r="BE4" s="65">
        <f t="shared" ref="BE4" si="102">BB4+1</f>
        <v>43848</v>
      </c>
      <c r="BF4" s="66"/>
      <c r="BG4" s="67"/>
      <c r="BH4" s="65">
        <f t="shared" ref="BH4" si="103">BE4+1</f>
        <v>43849</v>
      </c>
      <c r="BI4" s="66"/>
      <c r="BJ4" s="67"/>
      <c r="BK4" s="65">
        <f t="shared" ref="BK4" si="104">BH4+1</f>
        <v>43850</v>
      </c>
      <c r="BL4" s="66"/>
      <c r="BM4" s="67"/>
      <c r="BN4" s="65">
        <f t="shared" ref="BN4" si="105">BK4+1</f>
        <v>43851</v>
      </c>
      <c r="BO4" s="66"/>
      <c r="BP4" s="67"/>
      <c r="BQ4" s="65">
        <f t="shared" ref="BQ4" si="106">BN4+1</f>
        <v>43852</v>
      </c>
      <c r="BR4" s="66"/>
      <c r="BS4" s="67"/>
      <c r="BT4" s="65">
        <f t="shared" ref="BT4" si="107">BQ4+1</f>
        <v>43853</v>
      </c>
      <c r="BU4" s="66"/>
      <c r="BV4" s="67"/>
      <c r="BW4" s="65">
        <f t="shared" ref="BW4" si="108">BT4+1</f>
        <v>43854</v>
      </c>
      <c r="BX4" s="66"/>
      <c r="BY4" s="67"/>
      <c r="BZ4" s="65">
        <f t="shared" ref="BZ4" si="109">BW4+1</f>
        <v>43855</v>
      </c>
      <c r="CA4" s="66"/>
      <c r="CB4" s="67"/>
      <c r="CC4" s="65">
        <f t="shared" ref="CC4" si="110">BZ4+1</f>
        <v>43856</v>
      </c>
      <c r="CD4" s="66"/>
      <c r="CE4" s="67"/>
      <c r="CF4" s="65">
        <f t="shared" ref="CF4" si="111">CC4+1</f>
        <v>43857</v>
      </c>
      <c r="CG4" s="66"/>
      <c r="CH4" s="67"/>
      <c r="CI4" s="65">
        <f t="shared" ref="CI4" si="112">CF4+1</f>
        <v>43858</v>
      </c>
      <c r="CJ4" s="66"/>
      <c r="CK4" s="67"/>
      <c r="CL4" s="65">
        <f t="shared" ref="CL4" si="113">CI4+1</f>
        <v>43859</v>
      </c>
      <c r="CM4" s="66"/>
      <c r="CN4" s="67"/>
      <c r="CO4" s="65">
        <f t="shared" ref="CO4" si="114">CL4+1</f>
        <v>43860</v>
      </c>
      <c r="CP4" s="66"/>
      <c r="CQ4" s="67"/>
      <c r="CR4" s="65">
        <f t="shared" ref="CR4" si="115">CO4+1</f>
        <v>43861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Quarta-Feira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Quinta-Feira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Sexta-Feira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Sábado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Domingo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Segunda-Feira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Terça-Feira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Quarta-Feira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Quinta-Feira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Sexta-Feira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Sábado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Domingo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Segunda-Feira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Terça-Feira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Quarta-Feira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Quinta-Feira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Sexta-Feira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Sábado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Domingo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Segunda-Feira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Terça-Feira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Quarta-Feira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Quinta-Feira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Sexta-Feira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Sábado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Domingo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Segunda-Feira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Terça-Feira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Quarta-Feira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Quinta-Feira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Sexta-Feira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 t="s">
        <v>11</v>
      </c>
      <c r="V7" s="35"/>
      <c r="W7" s="36"/>
      <c r="X7" s="37" t="s">
        <v>21</v>
      </c>
      <c r="Y7" s="34" t="s">
        <v>78</v>
      </c>
      <c r="Z7" s="36" t="s">
        <v>82</v>
      </c>
      <c r="AA7" s="37" t="s">
        <v>21</v>
      </c>
      <c r="AB7" s="34" t="s">
        <v>78</v>
      </c>
      <c r="AC7" s="36" t="s">
        <v>82</v>
      </c>
      <c r="AD7" s="37" t="s">
        <v>11</v>
      </c>
      <c r="AE7" s="34" t="s">
        <v>84</v>
      </c>
      <c r="AF7" s="36"/>
      <c r="AG7" s="37" t="s">
        <v>21</v>
      </c>
      <c r="AH7" s="34" t="s">
        <v>78</v>
      </c>
      <c r="AI7" s="36" t="s">
        <v>82</v>
      </c>
      <c r="AJ7" s="39"/>
      <c r="AK7" s="35"/>
      <c r="AL7" s="36"/>
      <c r="AM7" s="39"/>
      <c r="AN7" s="35"/>
      <c r="AO7" s="36"/>
      <c r="AP7" s="39" t="s">
        <v>12</v>
      </c>
      <c r="AQ7" s="35" t="s">
        <v>85</v>
      </c>
      <c r="AR7" s="36" t="s">
        <v>86</v>
      </c>
      <c r="AS7" s="39" t="s">
        <v>12</v>
      </c>
      <c r="AT7" s="35" t="s">
        <v>85</v>
      </c>
      <c r="AU7" s="36" t="s">
        <v>86</v>
      </c>
      <c r="AV7" s="39" t="s">
        <v>12</v>
      </c>
      <c r="AW7" s="35" t="s">
        <v>85</v>
      </c>
      <c r="AX7" s="36" t="s">
        <v>86</v>
      </c>
      <c r="AY7" s="39" t="s">
        <v>12</v>
      </c>
      <c r="AZ7" s="35" t="s">
        <v>85</v>
      </c>
      <c r="BA7" s="36" t="s">
        <v>86</v>
      </c>
      <c r="BB7" s="39" t="s">
        <v>12</v>
      </c>
      <c r="BC7" s="35" t="s">
        <v>85</v>
      </c>
      <c r="BD7" s="36" t="s">
        <v>86</v>
      </c>
      <c r="BE7" s="39"/>
      <c r="BF7" s="35"/>
      <c r="BG7" s="36"/>
      <c r="BH7" s="39"/>
      <c r="BI7" s="35"/>
      <c r="BJ7" s="36"/>
      <c r="BK7" s="39" t="s">
        <v>12</v>
      </c>
      <c r="BL7" s="35" t="s">
        <v>85</v>
      </c>
      <c r="BM7" s="36" t="s">
        <v>86</v>
      </c>
      <c r="BN7" s="39" t="s">
        <v>12</v>
      </c>
      <c r="BO7" s="35" t="s">
        <v>85</v>
      </c>
      <c r="BP7" s="36" t="s">
        <v>86</v>
      </c>
      <c r="BQ7" s="39" t="s">
        <v>12</v>
      </c>
      <c r="BR7" s="35" t="s">
        <v>85</v>
      </c>
      <c r="BS7" s="36" t="s">
        <v>86</v>
      </c>
      <c r="BT7" s="39" t="s">
        <v>12</v>
      </c>
      <c r="BU7" s="35" t="s">
        <v>85</v>
      </c>
      <c r="BV7" s="36" t="s">
        <v>86</v>
      </c>
      <c r="BW7" s="39" t="s">
        <v>12</v>
      </c>
      <c r="BX7" s="35" t="s">
        <v>85</v>
      </c>
      <c r="BY7" s="36" t="s">
        <v>86</v>
      </c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 t="s">
        <v>11</v>
      </c>
      <c r="V8" s="33"/>
      <c r="W8" s="38"/>
      <c r="X8" s="37" t="s">
        <v>12</v>
      </c>
      <c r="Y8" s="33" t="s">
        <v>79</v>
      </c>
      <c r="Z8" s="38"/>
      <c r="AA8" s="37" t="s">
        <v>12</v>
      </c>
      <c r="AB8" s="33" t="s">
        <v>79</v>
      </c>
      <c r="AC8" s="38"/>
      <c r="AD8" s="37" t="s">
        <v>11</v>
      </c>
      <c r="AE8" s="34" t="s">
        <v>84</v>
      </c>
      <c r="AF8" s="38"/>
      <c r="AG8" s="37" t="s">
        <v>12</v>
      </c>
      <c r="AH8" s="33" t="s">
        <v>79</v>
      </c>
      <c r="AI8" s="38"/>
      <c r="AJ8" s="37"/>
      <c r="AK8" s="33"/>
      <c r="AL8" s="38"/>
      <c r="AM8" s="37"/>
      <c r="AN8" s="33"/>
      <c r="AO8" s="38"/>
      <c r="AP8" s="37" t="s">
        <v>12</v>
      </c>
      <c r="AQ8" s="34" t="s">
        <v>80</v>
      </c>
      <c r="AR8" s="38" t="s">
        <v>83</v>
      </c>
      <c r="AS8" s="37" t="s">
        <v>12</v>
      </c>
      <c r="AT8" s="34" t="s">
        <v>80</v>
      </c>
      <c r="AU8" s="38" t="s">
        <v>83</v>
      </c>
      <c r="AV8" s="37" t="s">
        <v>21</v>
      </c>
      <c r="AW8" s="33" t="s">
        <v>87</v>
      </c>
      <c r="AX8" s="38" t="s">
        <v>88</v>
      </c>
      <c r="AY8" s="37" t="s">
        <v>21</v>
      </c>
      <c r="AZ8" s="33" t="s">
        <v>87</v>
      </c>
      <c r="BA8" s="38" t="s">
        <v>88</v>
      </c>
      <c r="BB8" s="37" t="s">
        <v>21</v>
      </c>
      <c r="BC8" s="33" t="s">
        <v>89</v>
      </c>
      <c r="BD8" s="38" t="s">
        <v>90</v>
      </c>
      <c r="BE8" s="37"/>
      <c r="BF8" s="33"/>
      <c r="BG8" s="38"/>
      <c r="BH8" s="37"/>
      <c r="BI8" s="33"/>
      <c r="BJ8" s="38"/>
      <c r="BK8" s="37" t="s">
        <v>21</v>
      </c>
      <c r="BL8" s="33" t="s">
        <v>89</v>
      </c>
      <c r="BM8" s="38" t="s">
        <v>94</v>
      </c>
      <c r="BN8" s="37" t="s">
        <v>21</v>
      </c>
      <c r="BO8" s="33" t="s">
        <v>78</v>
      </c>
      <c r="BP8" s="38" t="s">
        <v>82</v>
      </c>
      <c r="BQ8" s="37" t="s">
        <v>21</v>
      </c>
      <c r="BR8" s="33" t="s">
        <v>78</v>
      </c>
      <c r="BS8" s="38" t="s">
        <v>82</v>
      </c>
      <c r="BT8" s="37" t="s">
        <v>21</v>
      </c>
      <c r="BU8" s="33" t="s">
        <v>78</v>
      </c>
      <c r="BV8" s="38" t="s">
        <v>82</v>
      </c>
      <c r="BW8" s="37" t="s">
        <v>21</v>
      </c>
      <c r="BX8" s="33" t="s">
        <v>78</v>
      </c>
      <c r="BY8" s="38" t="s">
        <v>82</v>
      </c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 t="s">
        <v>11</v>
      </c>
      <c r="V9" s="34"/>
      <c r="W9" s="38"/>
      <c r="X9" s="37" t="s">
        <v>11</v>
      </c>
      <c r="Y9" s="34"/>
      <c r="Z9" s="38"/>
      <c r="AA9" s="37" t="s">
        <v>12</v>
      </c>
      <c r="AB9" s="34" t="s">
        <v>80</v>
      </c>
      <c r="AC9" s="38"/>
      <c r="AD9" s="37" t="s">
        <v>11</v>
      </c>
      <c r="AE9" s="34" t="s">
        <v>84</v>
      </c>
      <c r="AF9" s="38"/>
      <c r="AG9" s="37" t="s">
        <v>12</v>
      </c>
      <c r="AH9" s="34" t="s">
        <v>80</v>
      </c>
      <c r="AI9" s="38" t="s">
        <v>83</v>
      </c>
      <c r="AJ9" s="37"/>
      <c r="AK9" s="34"/>
      <c r="AL9" s="38"/>
      <c r="AM9" s="37"/>
      <c r="AN9" s="34"/>
      <c r="AO9" s="38"/>
      <c r="AP9" s="37" t="s">
        <v>21</v>
      </c>
      <c r="AQ9" s="34" t="s">
        <v>78</v>
      </c>
      <c r="AR9" s="38" t="s">
        <v>91</v>
      </c>
      <c r="AS9" s="37" t="s">
        <v>21</v>
      </c>
      <c r="AT9" s="34" t="s">
        <v>78</v>
      </c>
      <c r="AU9" s="38" t="s">
        <v>91</v>
      </c>
      <c r="AV9" s="37" t="s">
        <v>21</v>
      </c>
      <c r="AW9" s="34" t="s">
        <v>78</v>
      </c>
      <c r="AX9" s="38" t="s">
        <v>91</v>
      </c>
      <c r="AY9" s="37" t="s">
        <v>21</v>
      </c>
      <c r="AZ9" s="34" t="s">
        <v>78</v>
      </c>
      <c r="BA9" s="38" t="s">
        <v>91</v>
      </c>
      <c r="BB9" s="37" t="s">
        <v>21</v>
      </c>
      <c r="BC9" s="34" t="s">
        <v>78</v>
      </c>
      <c r="BD9" s="38" t="s">
        <v>91</v>
      </c>
      <c r="BE9" s="37"/>
      <c r="BF9" s="34"/>
      <c r="BG9" s="38"/>
      <c r="BH9" s="37"/>
      <c r="BI9" s="34"/>
      <c r="BJ9" s="38"/>
      <c r="BK9" s="37" t="s">
        <v>12</v>
      </c>
      <c r="BL9" s="34" t="s">
        <v>80</v>
      </c>
      <c r="BM9" s="38" t="s">
        <v>83</v>
      </c>
      <c r="BN9" s="37" t="s">
        <v>12</v>
      </c>
      <c r="BO9" s="34" t="s">
        <v>80</v>
      </c>
      <c r="BP9" s="38" t="s">
        <v>83</v>
      </c>
      <c r="BQ9" s="37" t="s">
        <v>12</v>
      </c>
      <c r="BR9" s="34" t="s">
        <v>80</v>
      </c>
      <c r="BS9" s="38" t="s">
        <v>83</v>
      </c>
      <c r="BT9" s="37" t="s">
        <v>12</v>
      </c>
      <c r="BU9" s="34" t="s">
        <v>80</v>
      </c>
      <c r="BV9" s="38" t="s">
        <v>83</v>
      </c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 t="s">
        <v>38</v>
      </c>
      <c r="V10" s="33" t="s">
        <v>77</v>
      </c>
      <c r="W10" s="38"/>
      <c r="X10" s="37" t="s">
        <v>38</v>
      </c>
      <c r="Y10" s="33" t="s">
        <v>77</v>
      </c>
      <c r="Z10" s="38"/>
      <c r="AA10" s="37" t="s">
        <v>38</v>
      </c>
      <c r="AB10" s="33" t="s">
        <v>77</v>
      </c>
      <c r="AC10" s="38"/>
      <c r="AD10" s="37" t="s">
        <v>11</v>
      </c>
      <c r="AE10" s="34" t="s">
        <v>84</v>
      </c>
      <c r="AF10" s="38"/>
      <c r="AG10" s="37" t="s">
        <v>38</v>
      </c>
      <c r="AH10" s="33" t="s">
        <v>77</v>
      </c>
      <c r="AI10" s="38"/>
      <c r="AJ10" s="37"/>
      <c r="AK10" s="33"/>
      <c r="AL10" s="38"/>
      <c r="AM10" s="37"/>
      <c r="AN10" s="33"/>
      <c r="AO10" s="38"/>
      <c r="AP10" s="37" t="s">
        <v>21</v>
      </c>
      <c r="AQ10" s="33" t="s">
        <v>92</v>
      </c>
      <c r="AR10" s="38" t="s">
        <v>96</v>
      </c>
      <c r="AS10" s="37" t="s">
        <v>21</v>
      </c>
      <c r="AT10" s="33" t="s">
        <v>92</v>
      </c>
      <c r="AU10" s="38" t="s">
        <v>96</v>
      </c>
      <c r="AV10" s="37" t="s">
        <v>21</v>
      </c>
      <c r="AW10" s="33" t="s">
        <v>92</v>
      </c>
      <c r="AX10" s="38" t="s">
        <v>96</v>
      </c>
      <c r="AY10" s="37" t="s">
        <v>21</v>
      </c>
      <c r="AZ10" s="33" t="s">
        <v>92</v>
      </c>
      <c r="BA10" s="38" t="s">
        <v>96</v>
      </c>
      <c r="BB10" s="37" t="s">
        <v>21</v>
      </c>
      <c r="BC10" s="33" t="s">
        <v>92</v>
      </c>
      <c r="BD10" s="38" t="s">
        <v>96</v>
      </c>
      <c r="BE10" s="37"/>
      <c r="BF10" s="33"/>
      <c r="BG10" s="38"/>
      <c r="BH10" s="37"/>
      <c r="BI10" s="33"/>
      <c r="BJ10" s="38"/>
      <c r="BK10" s="37" t="s">
        <v>21</v>
      </c>
      <c r="BL10" s="33" t="s">
        <v>92</v>
      </c>
      <c r="BM10" s="38" t="s">
        <v>96</v>
      </c>
      <c r="BN10" s="37" t="s">
        <v>21</v>
      </c>
      <c r="BO10" s="33" t="s">
        <v>92</v>
      </c>
      <c r="BP10" s="38" t="s">
        <v>96</v>
      </c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 t="s">
        <v>11</v>
      </c>
      <c r="V11" s="34"/>
      <c r="W11" s="38"/>
      <c r="X11" s="37" t="s">
        <v>11</v>
      </c>
      <c r="Y11" s="34"/>
      <c r="Z11" s="38"/>
      <c r="AA11" s="37" t="s">
        <v>11</v>
      </c>
      <c r="AB11" s="34"/>
      <c r="AC11" s="38"/>
      <c r="AD11" s="37" t="s">
        <v>11</v>
      </c>
      <c r="AE11" s="34" t="s">
        <v>84</v>
      </c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 t="s">
        <v>12</v>
      </c>
      <c r="AQ11" s="34" t="s">
        <v>79</v>
      </c>
      <c r="AR11" s="38" t="s">
        <v>93</v>
      </c>
      <c r="AS11" s="37" t="s">
        <v>12</v>
      </c>
      <c r="AT11" s="34" t="s">
        <v>79</v>
      </c>
      <c r="AU11" s="38" t="s">
        <v>93</v>
      </c>
      <c r="AV11" s="37" t="s">
        <v>12</v>
      </c>
      <c r="AW11" s="34" t="s">
        <v>79</v>
      </c>
      <c r="AX11" s="38" t="s">
        <v>93</v>
      </c>
      <c r="AY11" s="37" t="s">
        <v>12</v>
      </c>
      <c r="AZ11" s="34" t="s">
        <v>79</v>
      </c>
      <c r="BA11" s="38" t="s">
        <v>93</v>
      </c>
      <c r="BB11" s="37" t="s">
        <v>12</v>
      </c>
      <c r="BC11" s="34" t="s">
        <v>79</v>
      </c>
      <c r="BD11" s="38" t="s">
        <v>97</v>
      </c>
      <c r="BE11" s="37"/>
      <c r="BF11" s="34"/>
      <c r="BG11" s="38"/>
      <c r="BH11" s="37"/>
      <c r="BI11" s="34"/>
      <c r="BJ11" s="38"/>
      <c r="BK11" s="37" t="s">
        <v>12</v>
      </c>
      <c r="BL11" s="34" t="s">
        <v>95</v>
      </c>
      <c r="BM11" s="38" t="s">
        <v>97</v>
      </c>
      <c r="BN11" s="37" t="s">
        <v>12</v>
      </c>
      <c r="BO11" s="34" t="s">
        <v>95</v>
      </c>
      <c r="BP11" s="38" t="s">
        <v>97</v>
      </c>
      <c r="BQ11" s="37" t="s">
        <v>12</v>
      </c>
      <c r="BR11" s="34" t="s">
        <v>95</v>
      </c>
      <c r="BS11" s="38" t="s">
        <v>97</v>
      </c>
      <c r="BT11" s="37" t="s">
        <v>12</v>
      </c>
      <c r="BU11" s="34" t="s">
        <v>95</v>
      </c>
      <c r="BV11" s="38" t="s">
        <v>97</v>
      </c>
      <c r="BW11" s="37" t="s">
        <v>12</v>
      </c>
      <c r="BX11" s="34" t="s">
        <v>95</v>
      </c>
      <c r="BY11" s="38" t="s">
        <v>93</v>
      </c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 t="s">
        <v>11</v>
      </c>
      <c r="V12" s="33"/>
      <c r="W12" s="38"/>
      <c r="X12" s="37" t="s">
        <v>11</v>
      </c>
      <c r="Y12" s="33"/>
      <c r="Z12" s="38"/>
      <c r="AA12" s="37" t="s">
        <v>11</v>
      </c>
      <c r="AB12" s="33"/>
      <c r="AC12" s="38"/>
      <c r="AD12" s="37" t="s">
        <v>11</v>
      </c>
      <c r="AE12" s="34" t="s">
        <v>84</v>
      </c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 t="s">
        <v>11</v>
      </c>
      <c r="AQ12" s="33"/>
      <c r="AR12" s="38"/>
      <c r="AS12" s="37" t="s">
        <v>11</v>
      </c>
      <c r="AT12" s="33"/>
      <c r="AU12" s="38"/>
      <c r="AV12" s="37" t="s">
        <v>11</v>
      </c>
      <c r="AW12" s="33"/>
      <c r="AX12" s="38"/>
      <c r="AY12" s="37" t="s">
        <v>11</v>
      </c>
      <c r="AZ12" s="33"/>
      <c r="BA12" s="38"/>
      <c r="BB12" s="37" t="s">
        <v>11</v>
      </c>
      <c r="BC12" s="33"/>
      <c r="BD12" s="38"/>
      <c r="BE12" s="37"/>
      <c r="BF12" s="33"/>
      <c r="BG12" s="38"/>
      <c r="BH12" s="37"/>
      <c r="BI12" s="33"/>
      <c r="BJ12" s="38"/>
      <c r="BK12" s="37" t="s">
        <v>11</v>
      </c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str">
        <f ca="1">HLOOKUP(TODAY(),$F$4:$CT$12,4,FALSE)</f>
        <v>Em uso (2º turno)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str">
        <f ca="1">HLOOKUP(TODAY(),$F$4:$CT$12,5,FALSE)</f>
        <v>Em uso (1º turno)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str">
        <f ca="1">HLOOKUP(TODAY(),$F$4:$CT$12,6,FALSE)</f>
        <v>Em uso (2º turno)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str">
        <f ca="1">HLOOKUP(TODAY(),$F$4:$CT$12,7,FALSE)</f>
        <v>Em uso (1º turno)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str">
        <f ca="1">HLOOKUP(TODAY(),$F$4:$CT$12,8,FALSE)</f>
        <v>Em uso (2º turno)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>
        <f ca="1">HLOOKUP(TODAY(),$F$4:$CT$12,9,FALSE)</f>
        <v>0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#REF!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#REF!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#REF!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#REF!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#REF!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#REF!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3</v>
      </c>
      <c r="I36" s="18">
        <f t="shared" ref="I36:I44" si="147">COUNTIF($F$8:$CT$8,$G36)</f>
        <v>8</v>
      </c>
      <c r="J36" s="18">
        <f t="shared" ref="J36:J44" si="148">COUNTIF($F$9:$CT$9,$G36)</f>
        <v>5</v>
      </c>
      <c r="K36" s="18">
        <f t="shared" ref="K36:K44" si="149">COUNTIF($F$10:$CT$10,$G36)</f>
        <v>7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10</v>
      </c>
      <c r="I37" s="18">
        <f t="shared" si="147"/>
        <v>5</v>
      </c>
      <c r="J37" s="18">
        <f t="shared" si="148"/>
        <v>6</v>
      </c>
      <c r="K37" s="18">
        <f t="shared" si="149"/>
        <v>0</v>
      </c>
      <c r="L37" s="18">
        <f t="shared" si="150"/>
        <v>10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4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2</v>
      </c>
      <c r="I46" s="18">
        <f>COUNTIF($F$8:$CT$8,$G46)</f>
        <v>2</v>
      </c>
      <c r="J46" s="18">
        <f>COUNTIF($F$9:$CT$9,$G46)</f>
        <v>3</v>
      </c>
      <c r="K46" s="18">
        <f>COUNTIF($F$10:$CT$10,$G46)</f>
        <v>1</v>
      </c>
      <c r="L46" s="18">
        <f>COUNTIF($F$11:$CT$11,$G46)</f>
        <v>4</v>
      </c>
      <c r="M46" s="18">
        <f>COUNTIF($F$12:$CT$12,$G46)</f>
        <v>10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13</v>
      </c>
      <c r="I48" s="24">
        <f t="shared" si="153"/>
        <v>13</v>
      </c>
      <c r="J48" s="24">
        <f t="shared" si="153"/>
        <v>11</v>
      </c>
      <c r="K48" s="24">
        <f t="shared" si="153"/>
        <v>11</v>
      </c>
      <c r="L48" s="24">
        <f t="shared" si="153"/>
        <v>10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2</v>
      </c>
      <c r="I49" s="24">
        <f t="shared" si="154"/>
        <v>2</v>
      </c>
      <c r="J49" s="24">
        <f t="shared" si="154"/>
        <v>3</v>
      </c>
      <c r="K49" s="24">
        <f t="shared" si="154"/>
        <v>1</v>
      </c>
      <c r="L49" s="24">
        <f t="shared" si="154"/>
        <v>4</v>
      </c>
      <c r="M49" s="24">
        <f t="shared" si="154"/>
        <v>10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2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3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7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7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7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7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7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7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7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R4:T4"/>
    <mergeCell ref="A1:E1"/>
    <mergeCell ref="F4:H4"/>
    <mergeCell ref="I4:K4"/>
    <mergeCell ref="L4:N4"/>
    <mergeCell ref="O4:Q4"/>
    <mergeCell ref="BB4:BD4"/>
    <mergeCell ref="U4:W4"/>
    <mergeCell ref="X4:Z4"/>
    <mergeCell ref="AA4:AC4"/>
    <mergeCell ref="AD4:AF4"/>
    <mergeCell ref="AG4:AI4"/>
    <mergeCell ref="AJ4:AL4"/>
    <mergeCell ref="BW4:BY4"/>
    <mergeCell ref="BZ4:CB4"/>
    <mergeCell ref="CC4:CE4"/>
    <mergeCell ref="CF4:CH4"/>
    <mergeCell ref="CI4:CK4"/>
    <mergeCell ref="CL4:CN4"/>
    <mergeCell ref="U5:W5"/>
    <mergeCell ref="CO4:CQ4"/>
    <mergeCell ref="CR4:CT4"/>
    <mergeCell ref="BE4:BG4"/>
    <mergeCell ref="BH4:BJ4"/>
    <mergeCell ref="BK4:BM4"/>
    <mergeCell ref="BN4:BP4"/>
    <mergeCell ref="BQ4:BS4"/>
    <mergeCell ref="BT4:BV4"/>
    <mergeCell ref="AM4:AO4"/>
    <mergeCell ref="AP4:AR4"/>
    <mergeCell ref="AS4:AU4"/>
    <mergeCell ref="AV4:AX4"/>
    <mergeCell ref="AY4:BA4"/>
    <mergeCell ref="BE5:BG5"/>
    <mergeCell ref="F5:H5"/>
    <mergeCell ref="I5:K5"/>
    <mergeCell ref="L5:N5"/>
    <mergeCell ref="O5:Q5"/>
    <mergeCell ref="R5:T5"/>
    <mergeCell ref="X5:Z5"/>
    <mergeCell ref="AA5:AC5"/>
    <mergeCell ref="AD5:AF5"/>
    <mergeCell ref="AG5:AI5"/>
    <mergeCell ref="AJ5:AL5"/>
    <mergeCell ref="AM5:AO5"/>
    <mergeCell ref="BZ5:CB5"/>
    <mergeCell ref="CC5:CE5"/>
    <mergeCell ref="CF5:CH5"/>
    <mergeCell ref="CI5:CK5"/>
    <mergeCell ref="CL5:CN5"/>
    <mergeCell ref="CO5:CQ5"/>
    <mergeCell ref="P14:AP14"/>
    <mergeCell ref="AR14:BD14"/>
    <mergeCell ref="CR5:CT5"/>
    <mergeCell ref="BH5:BJ5"/>
    <mergeCell ref="BK5:BM5"/>
    <mergeCell ref="BN5:BP5"/>
    <mergeCell ref="BQ5:BS5"/>
    <mergeCell ref="BT5:BV5"/>
    <mergeCell ref="BW5:BY5"/>
    <mergeCell ref="AP5:AR5"/>
    <mergeCell ref="AS5:AU5"/>
    <mergeCell ref="AV5:AX5"/>
    <mergeCell ref="AY5:BA5"/>
    <mergeCell ref="BB5:BD5"/>
  </mergeCells>
  <conditionalFormatting sqref="F7:CT12">
    <cfRule type="expression" dxfId="143" priority="13">
      <formula>IF(F$3="Domingo",TRUE,FALSE)</formula>
    </cfRule>
    <cfRule type="expression" dxfId="142" priority="14">
      <formula>IF(F$3="Sábado",TRUE,FALSE)</formula>
    </cfRule>
  </conditionalFormatting>
  <conditionalFormatting sqref="F7:F12 I7:I12 L7:L12 O7:O12 R7:R12 U7:U12 AJ7:AJ12 AM7:AM12 BE7:BE12 BH7:BH12 BK7:BK12 BZ7:BZ12 CC7:CC12 CF7:CF12 CI7:CI12 CL7:CL12 CO7:CO12 CR7:CR12 X7:X12 AA7:AA12 AD7:AD12 AG7:AG12 AP7:AP12 AS7:AS12 AV7:AV12 AY7:AY12 BB7:BB12 BN7:BN12 BQ7:BQ12 BT7:BT12 BW7:BW12">
    <cfRule type="cellIs" dxfId="141" priority="2422" operator="equal">
      <formula>#REF!</formula>
    </cfRule>
    <cfRule type="cellIs" dxfId="140" priority="2423" operator="equal">
      <formula>$A$60</formula>
    </cfRule>
    <cfRule type="cellIs" dxfId="139" priority="2424" operator="equal">
      <formula>$A$67</formula>
    </cfRule>
    <cfRule type="cellIs" dxfId="138" priority="2425" operator="equal">
      <formula>$A$66</formula>
    </cfRule>
    <cfRule type="cellIs" dxfId="137" priority="2426" operator="equal">
      <formula>$A$65</formula>
    </cfRule>
    <cfRule type="cellIs" dxfId="136" priority="2427" operator="equal">
      <formula>$A$64</formula>
    </cfRule>
    <cfRule type="cellIs" dxfId="135" priority="2428" operator="equal">
      <formula>$A$63</formula>
    </cfRule>
  </conditionalFormatting>
  <conditionalFormatting sqref="F7:F12 I7:I12 L7:L12 O7:O12 R7:R12 U7:U12 AJ7:AJ12 AM7:AM12 BE7:BE12 BH7:BH12 BK7:BK12 BZ7:BZ12 CC7:CC12 CF7:CF12 CI7:CI12 CL7:CL12 CO7:CO12 CR7:CR12 X7:X12 AA7:AA12 AD7:AD12 AG7:AG12 AP7:AP12 AS7:AS12 AV7:AV12 AY7:AY12 BB7:BB12 BN7:BN12 BQ7:BQ12 BT7:BT12 BW7:BW12">
    <cfRule type="cellIs" dxfId="134" priority="2639" operator="equal">
      <formula>$A$62</formula>
    </cfRule>
    <cfRule type="cellIs" dxfId="133" priority="2640" operator="equal">
      <formula>$A$61</formula>
    </cfRule>
    <cfRule type="cellIs" dxfId="132" priority="2641" operator="equal">
      <formula>$A$68</formula>
    </cfRule>
  </conditionalFormatting>
  <dataValidations count="2">
    <dataValidation type="list" allowBlank="1" showInputMessage="1" showErrorMessage="1" sqref="B7:B12">
      <formula1>$B$70:$B$79</formula1>
    </dataValidation>
    <dataValidation type="list" allowBlank="1" showInputMessage="1" showErrorMessage="1" sqref="CR7:CR12 AD7:AD12 CL7:CL12 CI7:CI12 CF7:CF12 CC7:CC12 BZ7:BZ12 BT7:BT12 BQ7:BQ12 BN7:BN12 BB7:BB12 BK7:BK12 BH7:BH12 BE7:BE12 AY7:AY12 AV7:AV12 AP7:AP12 AG7:AG12 AS7:AS12 AM7:AM12 AJ7:AJ12 F7:F12 X7:X12 AA7:AA12 CO7:CO12 U7:U12 R7:R12 O7:O12 L7:L12 I7:I12 BW7:BW12">
      <formula1>$A$58:$A$68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CY90"/>
  <sheetViews>
    <sheetView zoomScale="80" zoomScaleNormal="80" workbookViewId="0">
      <pane xSplit="5" ySplit="6" topLeftCell="F16" activePane="bottomRight" state="frozen"/>
      <selection activeCell="D53" sqref="D53"/>
      <selection pane="topRight" activeCell="D53" sqref="D53"/>
      <selection pane="bottomLeft" activeCell="D53" sqref="D53"/>
      <selection pane="bottomRight" activeCell="CU9" sqref="CU9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2" width="16.5703125" style="6" customWidth="1"/>
    <col min="93" max="93" width="9.140625" style="11" hidden="1" customWidth="1"/>
    <col min="94" max="94" width="15.5703125" style="11" hidden="1" customWidth="1"/>
    <col min="95" max="96" width="9.140625" style="11" hidden="1" customWidth="1"/>
    <col min="97" max="97" width="10" style="11" customWidth="1"/>
    <col min="98" max="103" width="9.140625" style="11"/>
    <col min="104" max="16384" width="9.140625" style="6"/>
  </cols>
  <sheetData>
    <row r="1" spans="1:98" ht="21.75" thickBot="1" x14ac:dyDescent="0.3">
      <c r="A1" s="68" t="str">
        <f>"Calendário de uso HPLC -  "&amp;IF(MONTH(F4)=1,CR1,IF(MONTH(F4)=2,CR2,IF(MONTH(F4)=3,CR3,IF(MONTH(F4)=4,CR4,IF(MONTH(F4)=5,CR5,IF(MONTH(F4)=6,CR6,IF(MONTH(F4)=7,CR7,IF(MONTH(F4)=8,CR8,IF(MONTH(F4)=9,CR9,IF(MONTH(F4)=10,CR10,IF(MONTH(F4)=11,CR11,IF(MONTH(F4)=12,CR12,"NA")))))))))))) &amp; "/" &amp; YEAR(F4) &amp; " - Equipe MP"</f>
        <v>Calendário de uso HPLC -  Fevereiro/2020 -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O1" s="10">
        <v>1</v>
      </c>
      <c r="CP1" s="11" t="s">
        <v>53</v>
      </c>
      <c r="CQ1" s="12">
        <v>1</v>
      </c>
      <c r="CR1" s="11" t="s">
        <v>60</v>
      </c>
    </row>
    <row r="2" spans="1:98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O2" s="10">
        <v>2</v>
      </c>
      <c r="CP2" s="11" t="s">
        <v>75</v>
      </c>
      <c r="CQ2" s="12">
        <v>2</v>
      </c>
      <c r="CR2" s="11" t="s">
        <v>76</v>
      </c>
    </row>
    <row r="3" spans="1:98" ht="15.75" hidden="1" thickBot="1" x14ac:dyDescent="0.3">
      <c r="F3" s="18" t="str">
        <f>F5</f>
        <v>Sábado</v>
      </c>
      <c r="G3" s="18" t="str">
        <f>F5</f>
        <v>Sábado</v>
      </c>
      <c r="H3" s="18" t="str">
        <f>F5</f>
        <v>Sábado</v>
      </c>
      <c r="I3" s="18" t="str">
        <f>I5</f>
        <v>Domingo</v>
      </c>
      <c r="J3" s="6" t="str">
        <f>I5</f>
        <v>Domingo</v>
      </c>
      <c r="K3" s="6" t="str">
        <f>I5</f>
        <v>Domingo</v>
      </c>
      <c r="L3" s="6" t="str">
        <f t="shared" ref="L3" si="0">L5</f>
        <v>Segunda-Feira</v>
      </c>
      <c r="M3" s="6" t="str">
        <f t="shared" ref="M3" si="1">L5</f>
        <v>Segunda-Feira</v>
      </c>
      <c r="N3" s="6" t="str">
        <f t="shared" ref="N3" si="2">L5</f>
        <v>Segunda-Feira</v>
      </c>
      <c r="O3" s="6" t="str">
        <f t="shared" ref="O3" si="3">O5</f>
        <v>Terça-Feira</v>
      </c>
      <c r="P3" s="6" t="str">
        <f t="shared" ref="P3" si="4">O5</f>
        <v>Terça-Feira</v>
      </c>
      <c r="Q3" s="6" t="str">
        <f t="shared" ref="Q3" si="5">O5</f>
        <v>Terça-Feira</v>
      </c>
      <c r="R3" s="6" t="str">
        <f t="shared" ref="R3" si="6">R5</f>
        <v>Quarta-Feira</v>
      </c>
      <c r="S3" s="6" t="str">
        <f t="shared" ref="S3" si="7">R5</f>
        <v>Quarta-Feira</v>
      </c>
      <c r="T3" s="6" t="str">
        <f t="shared" ref="T3" si="8">R5</f>
        <v>Quarta-Feira</v>
      </c>
      <c r="U3" s="6" t="str">
        <f t="shared" ref="U3" si="9">U5</f>
        <v>Quinta-Feira</v>
      </c>
      <c r="V3" s="6" t="str">
        <f t="shared" ref="V3" si="10">U5</f>
        <v>Quinta-Feira</v>
      </c>
      <c r="W3" s="6" t="str">
        <f t="shared" ref="W3" si="11">U5</f>
        <v>Quinta-Feira</v>
      </c>
      <c r="X3" s="6" t="str">
        <f t="shared" ref="X3" si="12">X5</f>
        <v>Sexta-Feira</v>
      </c>
      <c r="Y3" s="6" t="str">
        <f t="shared" ref="Y3" si="13">X5</f>
        <v>Sexta-Feira</v>
      </c>
      <c r="Z3" s="6" t="str">
        <f t="shared" ref="Z3" si="14">X5</f>
        <v>Sexta-Feira</v>
      </c>
      <c r="AA3" s="6" t="str">
        <f t="shared" ref="AA3" si="15">AA5</f>
        <v>Sábado</v>
      </c>
      <c r="AB3" s="6" t="str">
        <f t="shared" ref="AB3" si="16">AA5</f>
        <v>Sábado</v>
      </c>
      <c r="AC3" s="6" t="str">
        <f t="shared" ref="AC3" si="17">AA5</f>
        <v>Sábado</v>
      </c>
      <c r="AD3" s="6" t="str">
        <f t="shared" ref="AD3" si="18">AD5</f>
        <v>Domingo</v>
      </c>
      <c r="AE3" s="6" t="str">
        <f t="shared" ref="AE3" si="19">AD5</f>
        <v>Domingo</v>
      </c>
      <c r="AF3" s="6" t="str">
        <f t="shared" ref="AF3" si="20">AD5</f>
        <v>Domingo</v>
      </c>
      <c r="AG3" s="6" t="str">
        <f t="shared" ref="AG3" si="21">AG5</f>
        <v>Segunda-Feira</v>
      </c>
      <c r="AH3" s="6" t="str">
        <f t="shared" ref="AH3" si="22">AG5</f>
        <v>Segunda-Feira</v>
      </c>
      <c r="AI3" s="6" t="str">
        <f t="shared" ref="AI3" si="23">AG5</f>
        <v>Segunda-Feira</v>
      </c>
      <c r="AJ3" s="6" t="str">
        <f t="shared" ref="AJ3" si="24">AJ5</f>
        <v>Terça-Feira</v>
      </c>
      <c r="AK3" s="6" t="str">
        <f t="shared" ref="AK3" si="25">AJ5</f>
        <v>Terça-Feira</v>
      </c>
      <c r="AL3" s="6" t="str">
        <f t="shared" ref="AL3" si="26">AJ5</f>
        <v>Terça-Feira</v>
      </c>
      <c r="AM3" s="6" t="str">
        <f t="shared" ref="AM3" si="27">AM5</f>
        <v>Quarta-Feira</v>
      </c>
      <c r="AN3" s="6" t="str">
        <f t="shared" ref="AN3" si="28">AM5</f>
        <v>Quarta-Feira</v>
      </c>
      <c r="AO3" s="6" t="str">
        <f t="shared" ref="AO3" si="29">AM5</f>
        <v>Quarta-Feira</v>
      </c>
      <c r="AP3" s="6" t="str">
        <f t="shared" ref="AP3" si="30">AP5</f>
        <v>Quinta-Feira</v>
      </c>
      <c r="AQ3" s="6" t="str">
        <f t="shared" ref="AQ3" si="31">AP5</f>
        <v>Quinta-Feira</v>
      </c>
      <c r="AR3" s="6" t="str">
        <f t="shared" ref="AR3" si="32">AP5</f>
        <v>Quinta-Feira</v>
      </c>
      <c r="AS3" s="6" t="str">
        <f t="shared" ref="AS3" si="33">AS5</f>
        <v>Sexta-Feira</v>
      </c>
      <c r="AT3" s="6" t="str">
        <f t="shared" ref="AT3" si="34">AS5</f>
        <v>Sexta-Feira</v>
      </c>
      <c r="AU3" s="6" t="str">
        <f t="shared" ref="AU3" si="35">AS5</f>
        <v>Sexta-Feira</v>
      </c>
      <c r="AV3" s="6" t="str">
        <f t="shared" ref="AV3" si="36">AV5</f>
        <v>Sábado</v>
      </c>
      <c r="AW3" s="6" t="str">
        <f t="shared" ref="AW3" si="37">AV5</f>
        <v>Sábado</v>
      </c>
      <c r="AX3" s="6" t="str">
        <f t="shared" ref="AX3" si="38">AV5</f>
        <v>Sábado</v>
      </c>
      <c r="AY3" s="6" t="str">
        <f t="shared" ref="AY3" si="39">AY5</f>
        <v>Domingo</v>
      </c>
      <c r="AZ3" s="6" t="str">
        <f t="shared" ref="AZ3" si="40">AY5</f>
        <v>Domingo</v>
      </c>
      <c r="BA3" s="6" t="str">
        <f t="shared" ref="BA3" si="41">AY5</f>
        <v>Domingo</v>
      </c>
      <c r="BB3" s="6" t="str">
        <f t="shared" ref="BB3" si="42">BB5</f>
        <v>Segunda-Feira</v>
      </c>
      <c r="BC3" s="6" t="str">
        <f t="shared" ref="BC3" si="43">BB5</f>
        <v>Segunda-Feira</v>
      </c>
      <c r="BD3" s="6" t="str">
        <f t="shared" ref="BD3" si="44">BB5</f>
        <v>Segunda-Feira</v>
      </c>
      <c r="BE3" s="6" t="str">
        <f t="shared" ref="BE3" si="45">BE5</f>
        <v>Terça-Feira</v>
      </c>
      <c r="BF3" s="6" t="str">
        <f t="shared" ref="BF3" si="46">BE5</f>
        <v>Terça-Feira</v>
      </c>
      <c r="BG3" s="6" t="str">
        <f t="shared" ref="BG3" si="47">BE5</f>
        <v>Terça-Feira</v>
      </c>
      <c r="BH3" s="6" t="str">
        <f t="shared" ref="BH3" si="48">BH5</f>
        <v>Quarta-Feira</v>
      </c>
      <c r="BI3" s="6" t="str">
        <f t="shared" ref="BI3" si="49">BH5</f>
        <v>Quarta-Feira</v>
      </c>
      <c r="BJ3" s="6" t="str">
        <f t="shared" ref="BJ3" si="50">BH5</f>
        <v>Quarta-Feira</v>
      </c>
      <c r="BK3" s="6" t="str">
        <f t="shared" ref="BK3" si="51">BK5</f>
        <v>Quinta-Feira</v>
      </c>
      <c r="BL3" s="6" t="str">
        <f t="shared" ref="BL3" si="52">BK5</f>
        <v>Quinta-Feira</v>
      </c>
      <c r="BM3" s="6" t="str">
        <f t="shared" ref="BM3" si="53">BK5</f>
        <v>Quinta-Feira</v>
      </c>
      <c r="BN3" s="6" t="str">
        <f t="shared" ref="BN3" si="54">BN5</f>
        <v>Sexta-Feira</v>
      </c>
      <c r="BO3" s="6" t="str">
        <f t="shared" ref="BO3" si="55">BN5</f>
        <v>Sexta-Feira</v>
      </c>
      <c r="BP3" s="6" t="str">
        <f t="shared" ref="BP3" si="56">BN5</f>
        <v>Sexta-Feira</v>
      </c>
      <c r="BQ3" s="6" t="str">
        <f t="shared" ref="BQ3" si="57">BQ5</f>
        <v>Sábado</v>
      </c>
      <c r="BR3" s="6" t="str">
        <f t="shared" ref="BR3" si="58">BQ5</f>
        <v>Sábado</v>
      </c>
      <c r="BS3" s="6" t="str">
        <f t="shared" ref="BS3" si="59">BQ5</f>
        <v>Sábado</v>
      </c>
      <c r="BT3" s="6" t="str">
        <f t="shared" ref="BT3" si="60">BT5</f>
        <v>Domingo</v>
      </c>
      <c r="BU3" s="6" t="str">
        <f t="shared" ref="BU3" si="61">BT5</f>
        <v>Domingo</v>
      </c>
      <c r="BV3" s="6" t="str">
        <f t="shared" ref="BV3" si="62">BT5</f>
        <v>Domingo</v>
      </c>
      <c r="BW3" s="6" t="str">
        <f t="shared" ref="BW3" si="63">BW5</f>
        <v>Segunda-Feira</v>
      </c>
      <c r="BX3" s="6" t="str">
        <f t="shared" ref="BX3" si="64">BW5</f>
        <v>Segunda-Feira</v>
      </c>
      <c r="BY3" s="6" t="str">
        <f t="shared" ref="BY3" si="65">BW5</f>
        <v>Segunda-Feira</v>
      </c>
      <c r="BZ3" s="6" t="str">
        <f t="shared" ref="BZ3" si="66">BZ5</f>
        <v>Terça-Feira</v>
      </c>
      <c r="CA3" s="6" t="str">
        <f t="shared" ref="CA3" si="67">BZ5</f>
        <v>Terça-Feira</v>
      </c>
      <c r="CB3" s="6" t="str">
        <f t="shared" ref="CB3" si="68">BZ5</f>
        <v>Terça-Feira</v>
      </c>
      <c r="CC3" s="6" t="str">
        <f t="shared" ref="CC3" si="69">CC5</f>
        <v>Quarta-Feira</v>
      </c>
      <c r="CD3" s="6" t="str">
        <f t="shared" ref="CD3" si="70">CC5</f>
        <v>Quarta-Feira</v>
      </c>
      <c r="CE3" s="6" t="str">
        <f t="shared" ref="CE3" si="71">CC5</f>
        <v>Quarta-Feira</v>
      </c>
      <c r="CF3" s="6" t="str">
        <f t="shared" ref="CF3" si="72">CF5</f>
        <v>Quinta-Feira</v>
      </c>
      <c r="CG3" s="6" t="str">
        <f t="shared" ref="CG3" si="73">CF5</f>
        <v>Quinta-Feira</v>
      </c>
      <c r="CH3" s="6" t="str">
        <f t="shared" ref="CH3" si="74">CF5</f>
        <v>Quinta-Feira</v>
      </c>
      <c r="CI3" s="6" t="str">
        <f t="shared" ref="CI3" si="75">CI5</f>
        <v>Sexta-Feira</v>
      </c>
      <c r="CJ3" s="6" t="str">
        <f t="shared" ref="CJ3" si="76">CI5</f>
        <v>Sexta-Feira</v>
      </c>
      <c r="CK3" s="6" t="str">
        <f t="shared" ref="CK3" si="77">CI5</f>
        <v>Sexta-Feira</v>
      </c>
      <c r="CL3" s="6" t="str">
        <f t="shared" ref="CL3" si="78">CL5</f>
        <v>Sábado</v>
      </c>
      <c r="CM3" s="6" t="str">
        <f t="shared" ref="CM3" si="79">CL5</f>
        <v>Sábado</v>
      </c>
      <c r="CN3" s="6" t="str">
        <f t="shared" ref="CN3" si="80">CL5</f>
        <v>Sábado</v>
      </c>
      <c r="CO3" s="10">
        <v>3</v>
      </c>
      <c r="CP3" s="11" t="s">
        <v>54</v>
      </c>
      <c r="CQ3" s="12">
        <v>3</v>
      </c>
      <c r="CR3" s="11" t="s">
        <v>61</v>
      </c>
      <c r="CS3" s="6"/>
      <c r="CT3" s="6"/>
    </row>
    <row r="4" spans="1:98" x14ac:dyDescent="0.25">
      <c r="F4" s="65">
        <v>43862</v>
      </c>
      <c r="G4" s="66"/>
      <c r="H4" s="67"/>
      <c r="I4" s="65">
        <f>F4+1</f>
        <v>43863</v>
      </c>
      <c r="J4" s="66"/>
      <c r="K4" s="67"/>
      <c r="L4" s="65">
        <f t="shared" ref="L4" si="81">I4+1</f>
        <v>43864</v>
      </c>
      <c r="M4" s="66"/>
      <c r="N4" s="67"/>
      <c r="O4" s="65">
        <f t="shared" ref="O4" si="82">L4+1</f>
        <v>43865</v>
      </c>
      <c r="P4" s="66"/>
      <c r="Q4" s="67"/>
      <c r="R4" s="65">
        <f t="shared" ref="R4" si="83">O4+1</f>
        <v>43866</v>
      </c>
      <c r="S4" s="66"/>
      <c r="T4" s="67"/>
      <c r="U4" s="65">
        <f t="shared" ref="U4" si="84">R4+1</f>
        <v>43867</v>
      </c>
      <c r="V4" s="66"/>
      <c r="W4" s="67"/>
      <c r="X4" s="65">
        <f t="shared" ref="X4" si="85">U4+1</f>
        <v>43868</v>
      </c>
      <c r="Y4" s="66"/>
      <c r="Z4" s="67"/>
      <c r="AA4" s="65">
        <f t="shared" ref="AA4" si="86">X4+1</f>
        <v>43869</v>
      </c>
      <c r="AB4" s="66"/>
      <c r="AC4" s="67"/>
      <c r="AD4" s="65">
        <f t="shared" ref="AD4" si="87">AA4+1</f>
        <v>43870</v>
      </c>
      <c r="AE4" s="66"/>
      <c r="AF4" s="67"/>
      <c r="AG4" s="65">
        <f t="shared" ref="AG4" si="88">AD4+1</f>
        <v>43871</v>
      </c>
      <c r="AH4" s="66"/>
      <c r="AI4" s="67"/>
      <c r="AJ4" s="65">
        <f t="shared" ref="AJ4" si="89">AG4+1</f>
        <v>43872</v>
      </c>
      <c r="AK4" s="66"/>
      <c r="AL4" s="67"/>
      <c r="AM4" s="65">
        <f t="shared" ref="AM4" si="90">AJ4+1</f>
        <v>43873</v>
      </c>
      <c r="AN4" s="66"/>
      <c r="AO4" s="67"/>
      <c r="AP4" s="65">
        <f t="shared" ref="AP4" si="91">AM4+1</f>
        <v>43874</v>
      </c>
      <c r="AQ4" s="66"/>
      <c r="AR4" s="67"/>
      <c r="AS4" s="65">
        <f t="shared" ref="AS4" si="92">AP4+1</f>
        <v>43875</v>
      </c>
      <c r="AT4" s="66"/>
      <c r="AU4" s="67"/>
      <c r="AV4" s="65">
        <f t="shared" ref="AV4" si="93">AS4+1</f>
        <v>43876</v>
      </c>
      <c r="AW4" s="66"/>
      <c r="AX4" s="67"/>
      <c r="AY4" s="65">
        <f t="shared" ref="AY4" si="94">AV4+1</f>
        <v>43877</v>
      </c>
      <c r="AZ4" s="66"/>
      <c r="BA4" s="67"/>
      <c r="BB4" s="65">
        <f t="shared" ref="BB4" si="95">AY4+1</f>
        <v>43878</v>
      </c>
      <c r="BC4" s="66"/>
      <c r="BD4" s="67"/>
      <c r="BE4" s="65">
        <f t="shared" ref="BE4" si="96">BB4+1</f>
        <v>43879</v>
      </c>
      <c r="BF4" s="66"/>
      <c r="BG4" s="67"/>
      <c r="BH4" s="65">
        <f t="shared" ref="BH4" si="97">BE4+1</f>
        <v>43880</v>
      </c>
      <c r="BI4" s="66"/>
      <c r="BJ4" s="67"/>
      <c r="BK4" s="65">
        <f t="shared" ref="BK4" si="98">BH4+1</f>
        <v>43881</v>
      </c>
      <c r="BL4" s="66"/>
      <c r="BM4" s="67"/>
      <c r="BN4" s="65">
        <f t="shared" ref="BN4" si="99">BK4+1</f>
        <v>43882</v>
      </c>
      <c r="BO4" s="66"/>
      <c r="BP4" s="67"/>
      <c r="BQ4" s="65">
        <f t="shared" ref="BQ4" si="100">BN4+1</f>
        <v>43883</v>
      </c>
      <c r="BR4" s="66"/>
      <c r="BS4" s="67"/>
      <c r="BT4" s="65">
        <f t="shared" ref="BT4" si="101">BQ4+1</f>
        <v>43884</v>
      </c>
      <c r="BU4" s="66"/>
      <c r="BV4" s="67"/>
      <c r="BW4" s="65">
        <f t="shared" ref="BW4" si="102">BT4+1</f>
        <v>43885</v>
      </c>
      <c r="BX4" s="66"/>
      <c r="BY4" s="67"/>
      <c r="BZ4" s="65">
        <f t="shared" ref="BZ4" si="103">BW4+1</f>
        <v>43886</v>
      </c>
      <c r="CA4" s="66"/>
      <c r="CB4" s="67"/>
      <c r="CC4" s="65">
        <f t="shared" ref="CC4" si="104">BZ4+1</f>
        <v>43887</v>
      </c>
      <c r="CD4" s="66"/>
      <c r="CE4" s="67"/>
      <c r="CF4" s="65">
        <f t="shared" ref="CF4" si="105">CC4+1</f>
        <v>43888</v>
      </c>
      <c r="CG4" s="66"/>
      <c r="CH4" s="67"/>
      <c r="CI4" s="65">
        <f t="shared" ref="CI4" si="106">CF4+1</f>
        <v>43889</v>
      </c>
      <c r="CJ4" s="66"/>
      <c r="CK4" s="67"/>
      <c r="CL4" s="65">
        <f t="shared" ref="CL4" si="107">CI4+1</f>
        <v>43890</v>
      </c>
      <c r="CM4" s="66"/>
      <c r="CN4" s="67"/>
      <c r="CO4" s="10">
        <v>4</v>
      </c>
      <c r="CP4" s="11" t="s">
        <v>55</v>
      </c>
      <c r="CQ4" s="12">
        <v>4</v>
      </c>
      <c r="CR4" s="11" t="s">
        <v>63</v>
      </c>
    </row>
    <row r="5" spans="1:98" ht="15.75" thickBot="1" x14ac:dyDescent="0.3">
      <c r="A5" s="13"/>
      <c r="F5" s="57" t="str">
        <f>IF(WEEKDAY(F4,2)=1,$CP$1,IF(WEEKDAY(F4,2)=2,$CP$2,IF(WEEKDAY(F4,2)=3,$CP$3,IF(WEEKDAY(F4,2)=4,$CP$4,IF(WEEKDAY(F4,2)=5,$CP$5,IF(WEEKDAY(F4,2)=6,$CP$6,IF(WEEKDAY(F4,2)=7,$CP$7,"ERRO")))))))</f>
        <v>Sábado</v>
      </c>
      <c r="G5" s="58"/>
      <c r="H5" s="59"/>
      <c r="I5" s="57" t="str">
        <f t="shared" ref="I5" si="108">IF(WEEKDAY(I4,2)=1,$CP$1,IF(WEEKDAY(I4,2)=2,$CP$2,IF(WEEKDAY(I4,2)=3,$CP$3,IF(WEEKDAY(I4,2)=4,$CP$4,IF(WEEKDAY(I4,2)=5,$CP$5,IF(WEEKDAY(I4,2)=6,$CP$6,IF(WEEKDAY(I4,2)=7,$CP$7,"ERRO")))))))</f>
        <v>Domingo</v>
      </c>
      <c r="J5" s="58"/>
      <c r="K5" s="59"/>
      <c r="L5" s="57" t="str">
        <f t="shared" ref="L5" si="109">IF(WEEKDAY(L4,2)=1,$CP$1,IF(WEEKDAY(L4,2)=2,$CP$2,IF(WEEKDAY(L4,2)=3,$CP$3,IF(WEEKDAY(L4,2)=4,$CP$4,IF(WEEKDAY(L4,2)=5,$CP$5,IF(WEEKDAY(L4,2)=6,$CP$6,IF(WEEKDAY(L4,2)=7,$CP$7,"ERRO")))))))</f>
        <v>Segunda-Feira</v>
      </c>
      <c r="M5" s="58"/>
      <c r="N5" s="59"/>
      <c r="O5" s="57" t="str">
        <f t="shared" ref="O5" si="110">IF(WEEKDAY(O4,2)=1,$CP$1,IF(WEEKDAY(O4,2)=2,$CP$2,IF(WEEKDAY(O4,2)=3,$CP$3,IF(WEEKDAY(O4,2)=4,$CP$4,IF(WEEKDAY(O4,2)=5,$CP$5,IF(WEEKDAY(O4,2)=6,$CP$6,IF(WEEKDAY(O4,2)=7,$CP$7,"ERRO")))))))</f>
        <v>Terça-Feira</v>
      </c>
      <c r="P5" s="58"/>
      <c r="Q5" s="59"/>
      <c r="R5" s="57" t="str">
        <f t="shared" ref="R5" si="111">IF(WEEKDAY(R4,2)=1,$CP$1,IF(WEEKDAY(R4,2)=2,$CP$2,IF(WEEKDAY(R4,2)=3,$CP$3,IF(WEEKDAY(R4,2)=4,$CP$4,IF(WEEKDAY(R4,2)=5,$CP$5,IF(WEEKDAY(R4,2)=6,$CP$6,IF(WEEKDAY(R4,2)=7,$CP$7,"ERRO")))))))</f>
        <v>Quarta-Feira</v>
      </c>
      <c r="S5" s="58"/>
      <c r="T5" s="59"/>
      <c r="U5" s="57" t="str">
        <f t="shared" ref="U5" si="112">IF(WEEKDAY(U4,2)=1,$CP$1,IF(WEEKDAY(U4,2)=2,$CP$2,IF(WEEKDAY(U4,2)=3,$CP$3,IF(WEEKDAY(U4,2)=4,$CP$4,IF(WEEKDAY(U4,2)=5,$CP$5,IF(WEEKDAY(U4,2)=6,$CP$6,IF(WEEKDAY(U4,2)=7,$CP$7,"ERRO")))))))</f>
        <v>Quinta-Feira</v>
      </c>
      <c r="V5" s="58"/>
      <c r="W5" s="59"/>
      <c r="X5" s="57" t="str">
        <f t="shared" ref="X5" si="113">IF(WEEKDAY(X4,2)=1,$CP$1,IF(WEEKDAY(X4,2)=2,$CP$2,IF(WEEKDAY(X4,2)=3,$CP$3,IF(WEEKDAY(X4,2)=4,$CP$4,IF(WEEKDAY(X4,2)=5,$CP$5,IF(WEEKDAY(X4,2)=6,$CP$6,IF(WEEKDAY(X4,2)=7,$CP$7,"ERRO")))))))</f>
        <v>Sexta-Feira</v>
      </c>
      <c r="Y5" s="58"/>
      <c r="Z5" s="59"/>
      <c r="AA5" s="57" t="str">
        <f t="shared" ref="AA5" si="114">IF(WEEKDAY(AA4,2)=1,$CP$1,IF(WEEKDAY(AA4,2)=2,$CP$2,IF(WEEKDAY(AA4,2)=3,$CP$3,IF(WEEKDAY(AA4,2)=4,$CP$4,IF(WEEKDAY(AA4,2)=5,$CP$5,IF(WEEKDAY(AA4,2)=6,$CP$6,IF(WEEKDAY(AA4,2)=7,$CP$7,"ERRO")))))))</f>
        <v>Sábado</v>
      </c>
      <c r="AB5" s="58"/>
      <c r="AC5" s="59"/>
      <c r="AD5" s="57" t="str">
        <f t="shared" ref="AD5" si="115">IF(WEEKDAY(AD4,2)=1,$CP$1,IF(WEEKDAY(AD4,2)=2,$CP$2,IF(WEEKDAY(AD4,2)=3,$CP$3,IF(WEEKDAY(AD4,2)=4,$CP$4,IF(WEEKDAY(AD4,2)=5,$CP$5,IF(WEEKDAY(AD4,2)=6,$CP$6,IF(WEEKDAY(AD4,2)=7,$CP$7,"ERRO")))))))</f>
        <v>Domingo</v>
      </c>
      <c r="AE5" s="58"/>
      <c r="AF5" s="59"/>
      <c r="AG5" s="57" t="str">
        <f t="shared" ref="AG5" si="116">IF(WEEKDAY(AG4,2)=1,$CP$1,IF(WEEKDAY(AG4,2)=2,$CP$2,IF(WEEKDAY(AG4,2)=3,$CP$3,IF(WEEKDAY(AG4,2)=4,$CP$4,IF(WEEKDAY(AG4,2)=5,$CP$5,IF(WEEKDAY(AG4,2)=6,$CP$6,IF(WEEKDAY(AG4,2)=7,$CP$7,"ERRO")))))))</f>
        <v>Segunda-Feira</v>
      </c>
      <c r="AH5" s="58"/>
      <c r="AI5" s="59"/>
      <c r="AJ5" s="57" t="str">
        <f t="shared" ref="AJ5" si="117">IF(WEEKDAY(AJ4,2)=1,$CP$1,IF(WEEKDAY(AJ4,2)=2,$CP$2,IF(WEEKDAY(AJ4,2)=3,$CP$3,IF(WEEKDAY(AJ4,2)=4,$CP$4,IF(WEEKDAY(AJ4,2)=5,$CP$5,IF(WEEKDAY(AJ4,2)=6,$CP$6,IF(WEEKDAY(AJ4,2)=7,$CP$7,"ERRO")))))))</f>
        <v>Terça-Feira</v>
      </c>
      <c r="AK5" s="58"/>
      <c r="AL5" s="59"/>
      <c r="AM5" s="57" t="str">
        <f t="shared" ref="AM5" si="118">IF(WEEKDAY(AM4,2)=1,$CP$1,IF(WEEKDAY(AM4,2)=2,$CP$2,IF(WEEKDAY(AM4,2)=3,$CP$3,IF(WEEKDAY(AM4,2)=4,$CP$4,IF(WEEKDAY(AM4,2)=5,$CP$5,IF(WEEKDAY(AM4,2)=6,$CP$6,IF(WEEKDAY(AM4,2)=7,$CP$7,"ERRO")))))))</f>
        <v>Quarta-Feira</v>
      </c>
      <c r="AN5" s="58"/>
      <c r="AO5" s="59"/>
      <c r="AP5" s="57" t="str">
        <f t="shared" ref="AP5" si="119">IF(WEEKDAY(AP4,2)=1,$CP$1,IF(WEEKDAY(AP4,2)=2,$CP$2,IF(WEEKDAY(AP4,2)=3,$CP$3,IF(WEEKDAY(AP4,2)=4,$CP$4,IF(WEEKDAY(AP4,2)=5,$CP$5,IF(WEEKDAY(AP4,2)=6,$CP$6,IF(WEEKDAY(AP4,2)=7,$CP$7,"ERRO")))))))</f>
        <v>Quinta-Feira</v>
      </c>
      <c r="AQ5" s="58"/>
      <c r="AR5" s="59"/>
      <c r="AS5" s="57" t="str">
        <f t="shared" ref="AS5" si="120">IF(WEEKDAY(AS4,2)=1,$CP$1,IF(WEEKDAY(AS4,2)=2,$CP$2,IF(WEEKDAY(AS4,2)=3,$CP$3,IF(WEEKDAY(AS4,2)=4,$CP$4,IF(WEEKDAY(AS4,2)=5,$CP$5,IF(WEEKDAY(AS4,2)=6,$CP$6,IF(WEEKDAY(AS4,2)=7,$CP$7,"ERRO")))))))</f>
        <v>Sexta-Feira</v>
      </c>
      <c r="AT5" s="58"/>
      <c r="AU5" s="59"/>
      <c r="AV5" s="57" t="str">
        <f t="shared" ref="AV5" si="121">IF(WEEKDAY(AV4,2)=1,$CP$1,IF(WEEKDAY(AV4,2)=2,$CP$2,IF(WEEKDAY(AV4,2)=3,$CP$3,IF(WEEKDAY(AV4,2)=4,$CP$4,IF(WEEKDAY(AV4,2)=5,$CP$5,IF(WEEKDAY(AV4,2)=6,$CP$6,IF(WEEKDAY(AV4,2)=7,$CP$7,"ERRO")))))))</f>
        <v>Sábado</v>
      </c>
      <c r="AW5" s="58"/>
      <c r="AX5" s="59"/>
      <c r="AY5" s="57" t="str">
        <f t="shared" ref="AY5" si="122">IF(WEEKDAY(AY4,2)=1,$CP$1,IF(WEEKDAY(AY4,2)=2,$CP$2,IF(WEEKDAY(AY4,2)=3,$CP$3,IF(WEEKDAY(AY4,2)=4,$CP$4,IF(WEEKDAY(AY4,2)=5,$CP$5,IF(WEEKDAY(AY4,2)=6,$CP$6,IF(WEEKDAY(AY4,2)=7,$CP$7,"ERRO")))))))</f>
        <v>Domingo</v>
      </c>
      <c r="AZ5" s="58"/>
      <c r="BA5" s="59"/>
      <c r="BB5" s="57" t="str">
        <f t="shared" ref="BB5" si="123">IF(WEEKDAY(BB4,2)=1,$CP$1,IF(WEEKDAY(BB4,2)=2,$CP$2,IF(WEEKDAY(BB4,2)=3,$CP$3,IF(WEEKDAY(BB4,2)=4,$CP$4,IF(WEEKDAY(BB4,2)=5,$CP$5,IF(WEEKDAY(BB4,2)=6,$CP$6,IF(WEEKDAY(BB4,2)=7,$CP$7,"ERRO")))))))</f>
        <v>Segunda-Feira</v>
      </c>
      <c r="BC5" s="58"/>
      <c r="BD5" s="59"/>
      <c r="BE5" s="57" t="str">
        <f t="shared" ref="BE5" si="124">IF(WEEKDAY(BE4,2)=1,$CP$1,IF(WEEKDAY(BE4,2)=2,$CP$2,IF(WEEKDAY(BE4,2)=3,$CP$3,IF(WEEKDAY(BE4,2)=4,$CP$4,IF(WEEKDAY(BE4,2)=5,$CP$5,IF(WEEKDAY(BE4,2)=6,$CP$6,IF(WEEKDAY(BE4,2)=7,$CP$7,"ERRO")))))))</f>
        <v>Terça-Feira</v>
      </c>
      <c r="BF5" s="58"/>
      <c r="BG5" s="59"/>
      <c r="BH5" s="57" t="str">
        <f t="shared" ref="BH5" si="125">IF(WEEKDAY(BH4,2)=1,$CP$1,IF(WEEKDAY(BH4,2)=2,$CP$2,IF(WEEKDAY(BH4,2)=3,$CP$3,IF(WEEKDAY(BH4,2)=4,$CP$4,IF(WEEKDAY(BH4,2)=5,$CP$5,IF(WEEKDAY(BH4,2)=6,$CP$6,IF(WEEKDAY(BH4,2)=7,$CP$7,"ERRO")))))))</f>
        <v>Quarta-Feira</v>
      </c>
      <c r="BI5" s="58"/>
      <c r="BJ5" s="59"/>
      <c r="BK5" s="57" t="str">
        <f t="shared" ref="BK5" si="126">IF(WEEKDAY(BK4,2)=1,$CP$1,IF(WEEKDAY(BK4,2)=2,$CP$2,IF(WEEKDAY(BK4,2)=3,$CP$3,IF(WEEKDAY(BK4,2)=4,$CP$4,IF(WEEKDAY(BK4,2)=5,$CP$5,IF(WEEKDAY(BK4,2)=6,$CP$6,IF(WEEKDAY(BK4,2)=7,$CP$7,"ERRO")))))))</f>
        <v>Quinta-Feira</v>
      </c>
      <c r="BL5" s="58"/>
      <c r="BM5" s="59"/>
      <c r="BN5" s="57" t="str">
        <f t="shared" ref="BN5" si="127">IF(WEEKDAY(BN4,2)=1,$CP$1,IF(WEEKDAY(BN4,2)=2,$CP$2,IF(WEEKDAY(BN4,2)=3,$CP$3,IF(WEEKDAY(BN4,2)=4,$CP$4,IF(WEEKDAY(BN4,2)=5,$CP$5,IF(WEEKDAY(BN4,2)=6,$CP$6,IF(WEEKDAY(BN4,2)=7,$CP$7,"ERRO")))))))</f>
        <v>Sexta-Feira</v>
      </c>
      <c r="BO5" s="58"/>
      <c r="BP5" s="59"/>
      <c r="BQ5" s="57" t="str">
        <f t="shared" ref="BQ5" si="128">IF(WEEKDAY(BQ4,2)=1,$CP$1,IF(WEEKDAY(BQ4,2)=2,$CP$2,IF(WEEKDAY(BQ4,2)=3,$CP$3,IF(WEEKDAY(BQ4,2)=4,$CP$4,IF(WEEKDAY(BQ4,2)=5,$CP$5,IF(WEEKDAY(BQ4,2)=6,$CP$6,IF(WEEKDAY(BQ4,2)=7,$CP$7,"ERRO")))))))</f>
        <v>Sábado</v>
      </c>
      <c r="BR5" s="58"/>
      <c r="BS5" s="59"/>
      <c r="BT5" s="57" t="str">
        <f t="shared" ref="BT5" si="129">IF(WEEKDAY(BT4,2)=1,$CP$1,IF(WEEKDAY(BT4,2)=2,$CP$2,IF(WEEKDAY(BT4,2)=3,$CP$3,IF(WEEKDAY(BT4,2)=4,$CP$4,IF(WEEKDAY(BT4,2)=5,$CP$5,IF(WEEKDAY(BT4,2)=6,$CP$6,IF(WEEKDAY(BT4,2)=7,$CP$7,"ERRO")))))))</f>
        <v>Domingo</v>
      </c>
      <c r="BU5" s="58"/>
      <c r="BV5" s="59"/>
      <c r="BW5" s="57" t="str">
        <f t="shared" ref="BW5" si="130">IF(WEEKDAY(BW4,2)=1,$CP$1,IF(WEEKDAY(BW4,2)=2,$CP$2,IF(WEEKDAY(BW4,2)=3,$CP$3,IF(WEEKDAY(BW4,2)=4,$CP$4,IF(WEEKDAY(BW4,2)=5,$CP$5,IF(WEEKDAY(BW4,2)=6,$CP$6,IF(WEEKDAY(BW4,2)=7,$CP$7,"ERRO")))))))</f>
        <v>Segunda-Feira</v>
      </c>
      <c r="BX5" s="58"/>
      <c r="BY5" s="59"/>
      <c r="BZ5" s="57" t="str">
        <f t="shared" ref="BZ5" si="131">IF(WEEKDAY(BZ4,2)=1,$CP$1,IF(WEEKDAY(BZ4,2)=2,$CP$2,IF(WEEKDAY(BZ4,2)=3,$CP$3,IF(WEEKDAY(BZ4,2)=4,$CP$4,IF(WEEKDAY(BZ4,2)=5,$CP$5,IF(WEEKDAY(BZ4,2)=6,$CP$6,IF(WEEKDAY(BZ4,2)=7,$CP$7,"ERRO")))))))</f>
        <v>Terça-Feira</v>
      </c>
      <c r="CA5" s="58"/>
      <c r="CB5" s="59"/>
      <c r="CC5" s="57" t="str">
        <f t="shared" ref="CC5" si="132">IF(WEEKDAY(CC4,2)=1,$CP$1,IF(WEEKDAY(CC4,2)=2,$CP$2,IF(WEEKDAY(CC4,2)=3,$CP$3,IF(WEEKDAY(CC4,2)=4,$CP$4,IF(WEEKDAY(CC4,2)=5,$CP$5,IF(WEEKDAY(CC4,2)=6,$CP$6,IF(WEEKDAY(CC4,2)=7,$CP$7,"ERRO")))))))</f>
        <v>Quarta-Feira</v>
      </c>
      <c r="CD5" s="58"/>
      <c r="CE5" s="59"/>
      <c r="CF5" s="57" t="str">
        <f t="shared" ref="CF5" si="133">IF(WEEKDAY(CF4,2)=1,$CP$1,IF(WEEKDAY(CF4,2)=2,$CP$2,IF(WEEKDAY(CF4,2)=3,$CP$3,IF(WEEKDAY(CF4,2)=4,$CP$4,IF(WEEKDAY(CF4,2)=5,$CP$5,IF(WEEKDAY(CF4,2)=6,$CP$6,IF(WEEKDAY(CF4,2)=7,$CP$7,"ERRO")))))))</f>
        <v>Quinta-Feira</v>
      </c>
      <c r="CG5" s="58"/>
      <c r="CH5" s="59"/>
      <c r="CI5" s="57" t="str">
        <f t="shared" ref="CI5" si="134">IF(WEEKDAY(CI4,2)=1,$CP$1,IF(WEEKDAY(CI4,2)=2,$CP$2,IF(WEEKDAY(CI4,2)=3,$CP$3,IF(WEEKDAY(CI4,2)=4,$CP$4,IF(WEEKDAY(CI4,2)=5,$CP$5,IF(WEEKDAY(CI4,2)=6,$CP$6,IF(WEEKDAY(CI4,2)=7,$CP$7,"ERRO")))))))</f>
        <v>Sexta-Feira</v>
      </c>
      <c r="CJ5" s="58"/>
      <c r="CK5" s="59"/>
      <c r="CL5" s="57" t="str">
        <f t="shared" ref="CL5" si="135">IF(WEEKDAY(CL4,2)=1,$CP$1,IF(WEEKDAY(CL4,2)=2,$CP$2,IF(WEEKDAY(CL4,2)=3,$CP$3,IF(WEEKDAY(CL4,2)=4,$CP$4,IF(WEEKDAY(CL4,2)=5,$CP$5,IF(WEEKDAY(CL4,2)=6,$CP$6,IF(WEEKDAY(CL4,2)=7,$CP$7,"ERRO")))))))</f>
        <v>Sábado</v>
      </c>
      <c r="CM5" s="58"/>
      <c r="CN5" s="59"/>
      <c r="CO5" s="10">
        <v>5</v>
      </c>
      <c r="CP5" s="11" t="s">
        <v>56</v>
      </c>
      <c r="CQ5" s="12">
        <v>5</v>
      </c>
      <c r="CR5" s="11" t="s">
        <v>62</v>
      </c>
    </row>
    <row r="6" spans="1:98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10">
        <v>6</v>
      </c>
      <c r="CP6" s="11" t="s">
        <v>57</v>
      </c>
      <c r="CQ6" s="12">
        <v>6</v>
      </c>
      <c r="CR6" s="11" t="s">
        <v>64</v>
      </c>
    </row>
    <row r="7" spans="1:98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10">
        <v>7</v>
      </c>
      <c r="CP7" s="11" t="s">
        <v>58</v>
      </c>
      <c r="CQ7" s="12">
        <v>7</v>
      </c>
      <c r="CR7" s="11" t="s">
        <v>65</v>
      </c>
    </row>
    <row r="8" spans="1:98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10"/>
      <c r="CQ8" s="12">
        <v>8</v>
      </c>
      <c r="CR8" s="11" t="s">
        <v>66</v>
      </c>
    </row>
    <row r="9" spans="1:98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Q9" s="12">
        <v>9</v>
      </c>
      <c r="CR9" s="11" t="s">
        <v>67</v>
      </c>
    </row>
    <row r="10" spans="1:98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Q10" s="12">
        <v>10</v>
      </c>
      <c r="CR10" s="11" t="s">
        <v>68</v>
      </c>
    </row>
    <row r="11" spans="1:98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Q11" s="12">
        <v>11</v>
      </c>
      <c r="CR11" s="11" t="s">
        <v>69</v>
      </c>
    </row>
    <row r="12" spans="1:98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Q12" s="12">
        <v>12</v>
      </c>
      <c r="CR12" s="11" t="s">
        <v>70</v>
      </c>
    </row>
    <row r="13" spans="1:98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Q13" s="12"/>
    </row>
    <row r="14" spans="1:98" ht="16.5" thickBot="1" x14ac:dyDescent="0.3">
      <c r="A14" s="13" t="str">
        <f>A7</f>
        <v>HPLC.0034</v>
      </c>
      <c r="B14" s="6" t="s">
        <v>71</v>
      </c>
      <c r="C14" s="18" t="e">
        <f ca="1">HLOOKUP(TODAY(),$F$4:$CN$12,4,FALSE)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98" x14ac:dyDescent="0.25">
      <c r="B15" s="6" t="s">
        <v>72</v>
      </c>
      <c r="C15" s="18" t="e">
        <f ca="1">HLOOKUP(TODAY(),$F$4:$CN$12,5,FALSE)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98" x14ac:dyDescent="0.25">
      <c r="A16" s="13" t="str">
        <f>A8</f>
        <v>HPLC.0035</v>
      </c>
      <c r="B16" s="6" t="s">
        <v>71</v>
      </c>
      <c r="C16" s="18" t="e">
        <f ca="1">HLOOKUP(TODAY(),$F$4:$CN$12,6,FALSE)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HLOOKUP(TODAY(),$F$4:$CN$12,7,FALSE)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HLOOKUP(TODAY(),$F$4:$CN$12,8,FALSE)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HLOOKUP(TODAY(),$F$4:$CN$12,9,FALSE)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HLOOKUP(TODAY(),$F$4:$CN$12,10,FALSE)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HLOOKUP(TODAY(),$F$4:$CN$12,11,FALSE)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HLOOKUP(TODAY(),$F$4:$CN$12,12,FALSE)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HLOOKUP(TODAY(),$F$4:$CN$12,13,FALSE)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HLOOKUP(TODAY(),$F$4:$CN$12,14,FALSE)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HLOOKUP(TODAY(),$F$4:$CN$12,15,FALSE)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6" si="136">COUNTIF($F$7:$CN$7,$G36)</f>
        <v>0</v>
      </c>
      <c r="I36" s="18">
        <f t="shared" ref="I36:I46" si="137">COUNTIF($F$8:$CN$8,$G36)</f>
        <v>0</v>
      </c>
      <c r="J36" s="18">
        <f t="shared" ref="J36:J46" si="138">COUNTIF($F$9:$CN$9,$G36)</f>
        <v>0</v>
      </c>
      <c r="K36" s="18">
        <f t="shared" ref="K36:K46" si="139">COUNTIF($F$10:$CN$10,$G36)</f>
        <v>0</v>
      </c>
      <c r="L36" s="18">
        <f t="shared" ref="L36:L46" si="140">COUNTIF($F$11:$CN$11,$G36)</f>
        <v>0</v>
      </c>
      <c r="M36" s="18">
        <f t="shared" ref="M36:M46" si="141">COUNTIF($F$12:$CN$12,$G36)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36"/>
        <v>0</v>
      </c>
      <c r="I37" s="18">
        <f t="shared" si="137"/>
        <v>0</v>
      </c>
      <c r="J37" s="18">
        <f t="shared" si="138"/>
        <v>0</v>
      </c>
      <c r="K37" s="18">
        <f t="shared" si="139"/>
        <v>0</v>
      </c>
      <c r="L37" s="18">
        <f t="shared" si="140"/>
        <v>0</v>
      </c>
      <c r="M37" s="18">
        <f t="shared" si="14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36"/>
        <v>0</v>
      </c>
      <c r="I38" s="18">
        <f t="shared" si="137"/>
        <v>0</v>
      </c>
      <c r="J38" s="18">
        <f t="shared" si="138"/>
        <v>0</v>
      </c>
      <c r="K38" s="18">
        <f t="shared" si="139"/>
        <v>0</v>
      </c>
      <c r="L38" s="18">
        <f t="shared" si="140"/>
        <v>0</v>
      </c>
      <c r="M38" s="18">
        <f t="shared" si="14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36"/>
        <v>0</v>
      </c>
      <c r="I39" s="18">
        <f t="shared" si="137"/>
        <v>0</v>
      </c>
      <c r="J39" s="18">
        <f t="shared" si="138"/>
        <v>0</v>
      </c>
      <c r="K39" s="18">
        <f t="shared" si="139"/>
        <v>0</v>
      </c>
      <c r="L39" s="18">
        <f t="shared" si="140"/>
        <v>0</v>
      </c>
      <c r="M39" s="18">
        <f t="shared" si="14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36"/>
        <v>0</v>
      </c>
      <c r="I40" s="18">
        <f t="shared" si="137"/>
        <v>0</v>
      </c>
      <c r="J40" s="18">
        <f t="shared" si="138"/>
        <v>0</v>
      </c>
      <c r="K40" s="18">
        <f t="shared" si="139"/>
        <v>0</v>
      </c>
      <c r="L40" s="18">
        <f t="shared" si="140"/>
        <v>0</v>
      </c>
      <c r="M40" s="18">
        <f t="shared" si="14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36"/>
        <v>0</v>
      </c>
      <c r="I41" s="18">
        <f t="shared" si="137"/>
        <v>0</v>
      </c>
      <c r="J41" s="18">
        <f t="shared" si="138"/>
        <v>0</v>
      </c>
      <c r="K41" s="18">
        <f t="shared" si="139"/>
        <v>0</v>
      </c>
      <c r="L41" s="18">
        <f t="shared" si="140"/>
        <v>0</v>
      </c>
      <c r="M41" s="18">
        <f t="shared" si="14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36"/>
        <v>0</v>
      </c>
      <c r="I42" s="18">
        <f t="shared" si="137"/>
        <v>0</v>
      </c>
      <c r="J42" s="18">
        <f t="shared" si="138"/>
        <v>0</v>
      </c>
      <c r="K42" s="18">
        <f t="shared" si="139"/>
        <v>0</v>
      </c>
      <c r="L42" s="18">
        <f t="shared" si="140"/>
        <v>0</v>
      </c>
      <c r="M42" s="18">
        <f t="shared" si="14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36"/>
        <v>0</v>
      </c>
      <c r="I43" s="18">
        <f t="shared" si="137"/>
        <v>0</v>
      </c>
      <c r="J43" s="18">
        <f t="shared" si="138"/>
        <v>0</v>
      </c>
      <c r="K43" s="18">
        <f t="shared" si="139"/>
        <v>0</v>
      </c>
      <c r="L43" s="18">
        <f t="shared" si="140"/>
        <v>0</v>
      </c>
      <c r="M43" s="18">
        <f t="shared" si="14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36"/>
        <v>0</v>
      </c>
      <c r="I44" s="18">
        <f t="shared" si="137"/>
        <v>0</v>
      </c>
      <c r="J44" s="18">
        <f t="shared" si="138"/>
        <v>0</v>
      </c>
      <c r="K44" s="18">
        <f t="shared" si="139"/>
        <v>0</v>
      </c>
      <c r="L44" s="18">
        <f t="shared" si="140"/>
        <v>0</v>
      </c>
      <c r="M44" s="18">
        <f t="shared" si="14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 t="shared" si="136"/>
        <v>0</v>
      </c>
      <c r="I45" s="18">
        <f t="shared" si="137"/>
        <v>0</v>
      </c>
      <c r="J45" s="18">
        <f t="shared" si="138"/>
        <v>0</v>
      </c>
      <c r="K45" s="18">
        <f t="shared" si="139"/>
        <v>0</v>
      </c>
      <c r="L45" s="18">
        <f t="shared" si="140"/>
        <v>0</v>
      </c>
      <c r="M45" s="18">
        <f t="shared" si="141"/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 t="shared" si="136"/>
        <v>0</v>
      </c>
      <c r="I46" s="18">
        <f t="shared" si="137"/>
        <v>0</v>
      </c>
      <c r="J46" s="18">
        <f t="shared" si="138"/>
        <v>0</v>
      </c>
      <c r="K46" s="18">
        <f t="shared" si="139"/>
        <v>0</v>
      </c>
      <c r="L46" s="18">
        <f t="shared" si="140"/>
        <v>0</v>
      </c>
      <c r="M46" s="18">
        <f t="shared" si="141"/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42">H35</f>
        <v>HPLC.0034</v>
      </c>
      <c r="I47" s="21" t="str">
        <f t="shared" si="142"/>
        <v>HPLC.0035</v>
      </c>
      <c r="J47" s="21" t="str">
        <f t="shared" si="142"/>
        <v>HPLC.0036</v>
      </c>
      <c r="K47" s="21" t="str">
        <f t="shared" si="142"/>
        <v>HPLC.0037</v>
      </c>
      <c r="L47" s="21" t="str">
        <f t="shared" si="142"/>
        <v>HPLC.0045</v>
      </c>
      <c r="M47" s="21" t="str">
        <f t="shared" si="14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43">SUM(H36:H37,H39:H44)</f>
        <v>0</v>
      </c>
      <c r="I48" s="24">
        <f t="shared" si="143"/>
        <v>0</v>
      </c>
      <c r="J48" s="24">
        <f t="shared" si="143"/>
        <v>0</v>
      </c>
      <c r="K48" s="24">
        <f t="shared" si="143"/>
        <v>0</v>
      </c>
      <c r="L48" s="24">
        <f t="shared" si="143"/>
        <v>0</v>
      </c>
      <c r="M48" s="24">
        <f t="shared" si="14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44">SUM(H38,H45:H46)</f>
        <v>0</v>
      </c>
      <c r="I49" s="24">
        <f t="shared" si="144"/>
        <v>0</v>
      </c>
      <c r="J49" s="24">
        <f t="shared" si="144"/>
        <v>0</v>
      </c>
      <c r="K49" s="24">
        <f t="shared" si="144"/>
        <v>0</v>
      </c>
      <c r="L49" s="24">
        <f t="shared" si="144"/>
        <v>0</v>
      </c>
      <c r="M49" s="24">
        <f t="shared" si="14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4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4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4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4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4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4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4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4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4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4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4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1">
    <mergeCell ref="CF5:CH5"/>
    <mergeCell ref="CI5:CK5"/>
    <mergeCell ref="CL5:CN5"/>
    <mergeCell ref="P14:AP14"/>
    <mergeCell ref="AR14:BD14"/>
    <mergeCell ref="BN5:BP5"/>
    <mergeCell ref="BQ5:BS5"/>
    <mergeCell ref="BT5:BV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AD5:AF5"/>
    <mergeCell ref="AG5:AI5"/>
    <mergeCell ref="AJ5:AL5"/>
    <mergeCell ref="AM5:AO5"/>
    <mergeCell ref="AP5:AR5"/>
    <mergeCell ref="AS5:AU5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AM4:AO4"/>
    <mergeCell ref="AP4:AR4"/>
    <mergeCell ref="AS4:AU4"/>
    <mergeCell ref="AV4:AX4"/>
    <mergeCell ref="AY4:BA4"/>
    <mergeCell ref="BB4:BD4"/>
    <mergeCell ref="U4:W4"/>
    <mergeCell ref="X4:Z4"/>
    <mergeCell ref="AA4:AC4"/>
    <mergeCell ref="AD4:AF4"/>
    <mergeCell ref="AG4:AI4"/>
    <mergeCell ref="CC4:CE4"/>
    <mergeCell ref="CF4:CH4"/>
    <mergeCell ref="CI4:CK4"/>
    <mergeCell ref="CL4:CN4"/>
    <mergeCell ref="BE4:BG4"/>
    <mergeCell ref="BH4:BJ4"/>
    <mergeCell ref="BK4:BM4"/>
    <mergeCell ref="BN4:BP4"/>
    <mergeCell ref="BQ4:BS4"/>
    <mergeCell ref="BT4:BV4"/>
    <mergeCell ref="AJ4:AL4"/>
    <mergeCell ref="A1:E1"/>
    <mergeCell ref="F4:H4"/>
    <mergeCell ref="I4:K4"/>
    <mergeCell ref="L4:N4"/>
    <mergeCell ref="O4:Q4"/>
    <mergeCell ref="R4:T4"/>
  </mergeCells>
  <conditionalFormatting sqref="F7:CN12">
    <cfRule type="expression" dxfId="131" priority="1">
      <formula>IF(F$3="Domingo",TRUE,FALSE)</formula>
    </cfRule>
    <cfRule type="expression" dxfId="130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AD7:AD12 X7:X12 AA7:AA12 AG7:AG12">
    <cfRule type="cellIs" dxfId="129" priority="3" operator="equal">
      <formula>#REF!</formula>
    </cfRule>
    <cfRule type="cellIs" dxfId="128" priority="4" operator="equal">
      <formula>$A$60</formula>
    </cfRule>
    <cfRule type="cellIs" dxfId="127" priority="5" operator="equal">
      <formula>$A$67</formula>
    </cfRule>
    <cfRule type="cellIs" dxfId="126" priority="6" operator="equal">
      <formula>$A$66</formula>
    </cfRule>
    <cfRule type="cellIs" dxfId="125" priority="7" operator="equal">
      <formula>$A$65</formula>
    </cfRule>
    <cfRule type="cellIs" dxfId="124" priority="8" operator="equal">
      <formula>$A$64</formula>
    </cfRule>
    <cfRule type="cellIs" dxfId="123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AD7:AD12 X7:X12 AA7:AA12 AG7:AG12">
    <cfRule type="cellIs" dxfId="122" priority="10" operator="equal">
      <formula>$A$62</formula>
    </cfRule>
    <cfRule type="cellIs" dxfId="121" priority="11" operator="equal">
      <formula>$A$61</formula>
    </cfRule>
    <cfRule type="cellIs" dxfId="120" priority="12" operator="equal">
      <formula>$A$68</formula>
    </cfRule>
  </conditionalFormatting>
  <dataValidations count="2">
    <dataValidation type="list" allowBlank="1" showInputMessage="1" showErrorMessage="1" sqref="AG7:AG12 CL7:CL12 CI7:CI12 CF7:CF12 CC7:CC12 BZ7:BZ12 BW7:BW12 BT7:BT12 BQ7:BQ12 BN7:BN12 BK7:BK12 BH7:BH12 BE7:BE12 BB7:BB12 AY7:AY12 AV7:AV12 AS7:AS12 AP7:AP12 AM7:AM12 AJ7:AJ12 AD7:AD12 X7:X12 AA7:AA12 U7:U12 R7:R12 O7:O12 L7:L12 I7:I12 F7:F12">
      <formula1>$A$58:$A$68</formula1>
    </dataValidation>
    <dataValidation type="list" allowBlank="1" showInputMessage="1" showErrorMessage="1" sqref="B7:B12">
      <formula1>$B$70:$B$79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zoomScale="80" zoomScaleNormal="80" workbookViewId="0">
      <pane xSplit="5" ySplit="6" topLeftCell="F16" activePane="bottomRight" state="frozen"/>
      <selection activeCell="D53" sqref="D53"/>
      <selection pane="topRight" activeCell="D53" sqref="D53"/>
      <selection pane="bottomLeft" activeCell="D53" sqref="D53"/>
      <selection pane="bottomRight" activeCell="J10" sqref="J10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Março/2020 -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Domingo</v>
      </c>
      <c r="G3" s="18" t="str">
        <f>F5</f>
        <v>Domingo</v>
      </c>
      <c r="H3" s="18" t="str">
        <f>F5</f>
        <v>Domingo</v>
      </c>
      <c r="I3" s="18" t="str">
        <f>I5</f>
        <v>Segunda-Feira</v>
      </c>
      <c r="J3" s="6" t="str">
        <f>I5</f>
        <v>Segunda-Feira</v>
      </c>
      <c r="K3" s="6" t="str">
        <f>I5</f>
        <v>Segunda-Feira</v>
      </c>
      <c r="L3" s="6" t="str">
        <f t="shared" ref="L3" si="0">L5</f>
        <v>Terça-Feira</v>
      </c>
      <c r="M3" s="6" t="str">
        <f t="shared" ref="M3" si="1">L5</f>
        <v>Terça-Feira</v>
      </c>
      <c r="N3" s="6" t="str">
        <f t="shared" ref="N3" si="2">L5</f>
        <v>Terça-Feira</v>
      </c>
      <c r="O3" s="6" t="str">
        <f t="shared" ref="O3" si="3">O5</f>
        <v>Quarta-Feira</v>
      </c>
      <c r="P3" s="6" t="str">
        <f t="shared" ref="P3" si="4">O5</f>
        <v>Quarta-Feira</v>
      </c>
      <c r="Q3" s="6" t="str">
        <f t="shared" ref="Q3" si="5">O5</f>
        <v>Quarta-Feira</v>
      </c>
      <c r="R3" s="6" t="str">
        <f t="shared" ref="R3" si="6">R5</f>
        <v>Quinta-Feira</v>
      </c>
      <c r="S3" s="6" t="str">
        <f t="shared" ref="S3" si="7">R5</f>
        <v>Quinta-Feira</v>
      </c>
      <c r="T3" s="6" t="str">
        <f t="shared" ref="T3" si="8">R5</f>
        <v>Quinta-Feira</v>
      </c>
      <c r="U3" s="6" t="str">
        <f t="shared" ref="U3" si="9">U5</f>
        <v>Sexta-Feira</v>
      </c>
      <c r="V3" s="6" t="str">
        <f t="shared" ref="V3" si="10">U5</f>
        <v>Sexta-Feira</v>
      </c>
      <c r="W3" s="6" t="str">
        <f t="shared" ref="W3" si="11">U5</f>
        <v>Sexta-Feira</v>
      </c>
      <c r="X3" s="6" t="str">
        <f t="shared" ref="X3" si="12">X5</f>
        <v>Sábado</v>
      </c>
      <c r="Y3" s="6" t="str">
        <f t="shared" ref="Y3" si="13">X5</f>
        <v>Sábado</v>
      </c>
      <c r="Z3" s="6" t="str">
        <f t="shared" ref="Z3" si="14">X5</f>
        <v>Sábado</v>
      </c>
      <c r="AA3" s="6" t="str">
        <f t="shared" ref="AA3" si="15">AA5</f>
        <v>Domingo</v>
      </c>
      <c r="AB3" s="6" t="str">
        <f t="shared" ref="AB3" si="16">AA5</f>
        <v>Domingo</v>
      </c>
      <c r="AC3" s="6" t="str">
        <f t="shared" ref="AC3" si="17">AA5</f>
        <v>Domingo</v>
      </c>
      <c r="AD3" s="6" t="str">
        <f t="shared" ref="AD3" si="18">AD5</f>
        <v>Segunda-Feira</v>
      </c>
      <c r="AE3" s="6" t="str">
        <f t="shared" ref="AE3" si="19">AD5</f>
        <v>Segunda-Feira</v>
      </c>
      <c r="AF3" s="6" t="str">
        <f t="shared" ref="AF3" si="20">AD5</f>
        <v>Segunda-Feira</v>
      </c>
      <c r="AG3" s="6" t="str">
        <f t="shared" ref="AG3" si="21">AG5</f>
        <v>Terça-Feira</v>
      </c>
      <c r="AH3" s="6" t="str">
        <f t="shared" ref="AH3" si="22">AG5</f>
        <v>Terça-Feira</v>
      </c>
      <c r="AI3" s="6" t="str">
        <f t="shared" ref="AI3" si="23">AG5</f>
        <v>Terça-Feira</v>
      </c>
      <c r="AJ3" s="6" t="str">
        <f t="shared" ref="AJ3" si="24">AJ5</f>
        <v>Quarta-Feira</v>
      </c>
      <c r="AK3" s="6" t="str">
        <f t="shared" ref="AK3" si="25">AJ5</f>
        <v>Quarta-Feira</v>
      </c>
      <c r="AL3" s="6" t="str">
        <f t="shared" ref="AL3" si="26">AJ5</f>
        <v>Quarta-Feira</v>
      </c>
      <c r="AM3" s="6" t="str">
        <f t="shared" ref="AM3" si="27">AM5</f>
        <v>Quinta-Feira</v>
      </c>
      <c r="AN3" s="6" t="str">
        <f t="shared" ref="AN3" si="28">AM5</f>
        <v>Quinta-Feira</v>
      </c>
      <c r="AO3" s="6" t="str">
        <f t="shared" ref="AO3" si="29">AM5</f>
        <v>Quinta-Feira</v>
      </c>
      <c r="AP3" s="6" t="str">
        <f t="shared" ref="AP3" si="30">AP5</f>
        <v>Sexta-Feira</v>
      </c>
      <c r="AQ3" s="6" t="str">
        <f t="shared" ref="AQ3" si="31">AP5</f>
        <v>Sexta-Feira</v>
      </c>
      <c r="AR3" s="6" t="str">
        <f t="shared" ref="AR3" si="32">AP5</f>
        <v>Sexta-Feira</v>
      </c>
      <c r="AS3" s="6" t="str">
        <f t="shared" ref="AS3" si="33">AS5</f>
        <v>Sábado</v>
      </c>
      <c r="AT3" s="6" t="str">
        <f t="shared" ref="AT3" si="34">AS5</f>
        <v>Sábado</v>
      </c>
      <c r="AU3" s="6" t="str">
        <f t="shared" ref="AU3" si="35">AS5</f>
        <v>Sábado</v>
      </c>
      <c r="AV3" s="6" t="str">
        <f t="shared" ref="AV3" si="36">AV5</f>
        <v>Domingo</v>
      </c>
      <c r="AW3" s="6" t="str">
        <f t="shared" ref="AW3" si="37">AV5</f>
        <v>Domingo</v>
      </c>
      <c r="AX3" s="6" t="str">
        <f t="shared" ref="AX3" si="38">AV5</f>
        <v>Domingo</v>
      </c>
      <c r="AY3" s="6" t="str">
        <f t="shared" ref="AY3" si="39">AY5</f>
        <v>Segunda-Feira</v>
      </c>
      <c r="AZ3" s="6" t="str">
        <f t="shared" ref="AZ3" si="40">AY5</f>
        <v>Segunda-Feira</v>
      </c>
      <c r="BA3" s="6" t="str">
        <f t="shared" ref="BA3" si="41">AY5</f>
        <v>Segunda-Feira</v>
      </c>
      <c r="BB3" s="6" t="str">
        <f t="shared" ref="BB3" si="42">BB5</f>
        <v>Terça-Feira</v>
      </c>
      <c r="BC3" s="6" t="str">
        <f t="shared" ref="BC3" si="43">BB5</f>
        <v>Terça-Feira</v>
      </c>
      <c r="BD3" s="6" t="str">
        <f t="shared" ref="BD3" si="44">BB5</f>
        <v>Terça-Feira</v>
      </c>
      <c r="BE3" s="6" t="str">
        <f t="shared" ref="BE3" si="45">BE5</f>
        <v>Quarta-Feira</v>
      </c>
      <c r="BF3" s="6" t="str">
        <f t="shared" ref="BF3" si="46">BE5</f>
        <v>Quarta-Feira</v>
      </c>
      <c r="BG3" s="6" t="str">
        <f t="shared" ref="BG3" si="47">BE5</f>
        <v>Quarta-Feira</v>
      </c>
      <c r="BH3" s="6" t="str">
        <f t="shared" ref="BH3" si="48">BH5</f>
        <v>Quinta-Feira</v>
      </c>
      <c r="BI3" s="6" t="str">
        <f t="shared" ref="BI3" si="49">BH5</f>
        <v>Quinta-Feira</v>
      </c>
      <c r="BJ3" s="6" t="str">
        <f t="shared" ref="BJ3" si="50">BH5</f>
        <v>Quinta-Feira</v>
      </c>
      <c r="BK3" s="6" t="str">
        <f t="shared" ref="BK3" si="51">BK5</f>
        <v>Sexta-Feira</v>
      </c>
      <c r="BL3" s="6" t="str">
        <f t="shared" ref="BL3" si="52">BK5</f>
        <v>Sexta-Feira</v>
      </c>
      <c r="BM3" s="6" t="str">
        <f t="shared" ref="BM3" si="53">BK5</f>
        <v>Sexta-Feira</v>
      </c>
      <c r="BN3" s="6" t="str">
        <f t="shared" ref="BN3" si="54">BN5</f>
        <v>Sábado</v>
      </c>
      <c r="BO3" s="6" t="str">
        <f t="shared" ref="BO3" si="55">BN5</f>
        <v>Sábado</v>
      </c>
      <c r="BP3" s="6" t="str">
        <f t="shared" ref="BP3" si="56">BN5</f>
        <v>Sábado</v>
      </c>
      <c r="BQ3" s="6" t="str">
        <f t="shared" ref="BQ3" si="57">BQ5</f>
        <v>Domingo</v>
      </c>
      <c r="BR3" s="6" t="str">
        <f t="shared" ref="BR3" si="58">BQ5</f>
        <v>Domingo</v>
      </c>
      <c r="BS3" s="6" t="str">
        <f t="shared" ref="BS3" si="59">BQ5</f>
        <v>Domingo</v>
      </c>
      <c r="BT3" s="6" t="str">
        <f t="shared" ref="BT3" si="60">BT5</f>
        <v>Segunda-Feira</v>
      </c>
      <c r="BU3" s="6" t="str">
        <f t="shared" ref="BU3" si="61">BT5</f>
        <v>Segunda-Feira</v>
      </c>
      <c r="BV3" s="6" t="str">
        <f t="shared" ref="BV3" si="62">BT5</f>
        <v>Segunda-Feira</v>
      </c>
      <c r="BW3" s="6" t="str">
        <f t="shared" ref="BW3" si="63">BW5</f>
        <v>Terça-Feira</v>
      </c>
      <c r="BX3" s="6" t="str">
        <f t="shared" ref="BX3" si="64">BW5</f>
        <v>Terça-Feira</v>
      </c>
      <c r="BY3" s="6" t="str">
        <f t="shared" ref="BY3" si="65">BW5</f>
        <v>Terça-Feira</v>
      </c>
      <c r="BZ3" s="6" t="str">
        <f t="shared" ref="BZ3" si="66">BZ5</f>
        <v>Quarta-Feira</v>
      </c>
      <c r="CA3" s="6" t="str">
        <f t="shared" ref="CA3" si="67">BZ5</f>
        <v>Quarta-Feira</v>
      </c>
      <c r="CB3" s="6" t="str">
        <f t="shared" ref="CB3" si="68">BZ5</f>
        <v>Quarta-Feira</v>
      </c>
      <c r="CC3" s="6" t="str">
        <f t="shared" ref="CC3" si="69">CC5</f>
        <v>Quinta-Feira</v>
      </c>
      <c r="CD3" s="6" t="str">
        <f t="shared" ref="CD3" si="70">CC5</f>
        <v>Quinta-Feira</v>
      </c>
      <c r="CE3" s="6" t="str">
        <f t="shared" ref="CE3" si="71">CC5</f>
        <v>Quinta-Feira</v>
      </c>
      <c r="CF3" s="6" t="str">
        <f t="shared" ref="CF3" si="72">CF5</f>
        <v>Sexta-Feira</v>
      </c>
      <c r="CG3" s="6" t="str">
        <f t="shared" ref="CG3" si="73">CF5</f>
        <v>Sexta-Feira</v>
      </c>
      <c r="CH3" s="6" t="str">
        <f t="shared" ref="CH3" si="74">CF5</f>
        <v>Sexta-Feira</v>
      </c>
      <c r="CI3" s="6" t="str">
        <f t="shared" ref="CI3" si="75">CI5</f>
        <v>Sábado</v>
      </c>
      <c r="CJ3" s="6" t="str">
        <f t="shared" ref="CJ3" si="76">CI5</f>
        <v>Sábado</v>
      </c>
      <c r="CK3" s="6" t="str">
        <f t="shared" ref="CK3" si="77">CI5</f>
        <v>Sábado</v>
      </c>
      <c r="CL3" s="6" t="str">
        <f t="shared" ref="CL3" si="78">CL5</f>
        <v>Domingo</v>
      </c>
      <c r="CM3" s="6" t="str">
        <f t="shared" ref="CM3" si="79">CL5</f>
        <v>Domingo</v>
      </c>
      <c r="CN3" s="6" t="str">
        <f t="shared" ref="CN3" si="80">CL5</f>
        <v>Domingo</v>
      </c>
      <c r="CO3" s="6" t="str">
        <f t="shared" ref="CO3" si="81">CO5</f>
        <v>Segunda-Feira</v>
      </c>
      <c r="CP3" s="6" t="str">
        <f t="shared" ref="CP3" si="82">CO5</f>
        <v>Segunda-Feira</v>
      </c>
      <c r="CQ3" s="6" t="str">
        <f t="shared" ref="CQ3" si="83">CO5</f>
        <v>Segunda-Feira</v>
      </c>
      <c r="CR3" s="6" t="str">
        <f t="shared" ref="CR3" si="84">CR5</f>
        <v>Terça-Feira</v>
      </c>
      <c r="CS3" s="6" t="str">
        <f t="shared" ref="CS3" si="85">CR5</f>
        <v>Terça-Feira</v>
      </c>
      <c r="CT3" s="6" t="str">
        <f t="shared" ref="CT3" si="86">CR5</f>
        <v>Terça-Feira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43891</v>
      </c>
      <c r="G4" s="66"/>
      <c r="H4" s="67"/>
      <c r="I4" s="65">
        <f>F4+1</f>
        <v>43892</v>
      </c>
      <c r="J4" s="66"/>
      <c r="K4" s="67"/>
      <c r="L4" s="65">
        <f t="shared" ref="L4" si="87">I4+1</f>
        <v>43893</v>
      </c>
      <c r="M4" s="66"/>
      <c r="N4" s="67"/>
      <c r="O4" s="65">
        <f t="shared" ref="O4" si="88">L4+1</f>
        <v>43894</v>
      </c>
      <c r="P4" s="66"/>
      <c r="Q4" s="67"/>
      <c r="R4" s="65">
        <f t="shared" ref="R4" si="89">O4+1</f>
        <v>43895</v>
      </c>
      <c r="S4" s="66"/>
      <c r="T4" s="67"/>
      <c r="U4" s="65">
        <f t="shared" ref="U4" si="90">R4+1</f>
        <v>43896</v>
      </c>
      <c r="V4" s="66"/>
      <c r="W4" s="67"/>
      <c r="X4" s="65">
        <f t="shared" ref="X4" si="91">U4+1</f>
        <v>43897</v>
      </c>
      <c r="Y4" s="66"/>
      <c r="Z4" s="67"/>
      <c r="AA4" s="65">
        <f t="shared" ref="AA4" si="92">X4+1</f>
        <v>43898</v>
      </c>
      <c r="AB4" s="66"/>
      <c r="AC4" s="67"/>
      <c r="AD4" s="65">
        <f t="shared" ref="AD4" si="93">AA4+1</f>
        <v>43899</v>
      </c>
      <c r="AE4" s="66"/>
      <c r="AF4" s="67"/>
      <c r="AG4" s="65">
        <f t="shared" ref="AG4" si="94">AD4+1</f>
        <v>43900</v>
      </c>
      <c r="AH4" s="66"/>
      <c r="AI4" s="67"/>
      <c r="AJ4" s="65">
        <f t="shared" ref="AJ4" si="95">AG4+1</f>
        <v>43901</v>
      </c>
      <c r="AK4" s="66"/>
      <c r="AL4" s="67"/>
      <c r="AM4" s="65">
        <f t="shared" ref="AM4" si="96">AJ4+1</f>
        <v>43902</v>
      </c>
      <c r="AN4" s="66"/>
      <c r="AO4" s="67"/>
      <c r="AP4" s="65">
        <f t="shared" ref="AP4" si="97">AM4+1</f>
        <v>43903</v>
      </c>
      <c r="AQ4" s="66"/>
      <c r="AR4" s="67"/>
      <c r="AS4" s="65">
        <f t="shared" ref="AS4" si="98">AP4+1</f>
        <v>43904</v>
      </c>
      <c r="AT4" s="66"/>
      <c r="AU4" s="67"/>
      <c r="AV4" s="65">
        <f t="shared" ref="AV4" si="99">AS4+1</f>
        <v>43905</v>
      </c>
      <c r="AW4" s="66"/>
      <c r="AX4" s="67"/>
      <c r="AY4" s="65">
        <f t="shared" ref="AY4" si="100">AV4+1</f>
        <v>43906</v>
      </c>
      <c r="AZ4" s="66"/>
      <c r="BA4" s="67"/>
      <c r="BB4" s="65">
        <f t="shared" ref="BB4" si="101">AY4+1</f>
        <v>43907</v>
      </c>
      <c r="BC4" s="66"/>
      <c r="BD4" s="67"/>
      <c r="BE4" s="65">
        <f t="shared" ref="BE4" si="102">BB4+1</f>
        <v>43908</v>
      </c>
      <c r="BF4" s="66"/>
      <c r="BG4" s="67"/>
      <c r="BH4" s="65">
        <f t="shared" ref="BH4" si="103">BE4+1</f>
        <v>43909</v>
      </c>
      <c r="BI4" s="66"/>
      <c r="BJ4" s="67"/>
      <c r="BK4" s="65">
        <f t="shared" ref="BK4" si="104">BH4+1</f>
        <v>43910</v>
      </c>
      <c r="BL4" s="66"/>
      <c r="BM4" s="67"/>
      <c r="BN4" s="65">
        <f t="shared" ref="BN4" si="105">BK4+1</f>
        <v>43911</v>
      </c>
      <c r="BO4" s="66"/>
      <c r="BP4" s="67"/>
      <c r="BQ4" s="65">
        <f t="shared" ref="BQ4" si="106">BN4+1</f>
        <v>43912</v>
      </c>
      <c r="BR4" s="66"/>
      <c r="BS4" s="67"/>
      <c r="BT4" s="65">
        <f t="shared" ref="BT4" si="107">BQ4+1</f>
        <v>43913</v>
      </c>
      <c r="BU4" s="66"/>
      <c r="BV4" s="67"/>
      <c r="BW4" s="65">
        <f t="shared" ref="BW4" si="108">BT4+1</f>
        <v>43914</v>
      </c>
      <c r="BX4" s="66"/>
      <c r="BY4" s="67"/>
      <c r="BZ4" s="65">
        <f t="shared" ref="BZ4" si="109">BW4+1</f>
        <v>43915</v>
      </c>
      <c r="CA4" s="66"/>
      <c r="CB4" s="67"/>
      <c r="CC4" s="65">
        <f t="shared" ref="CC4" si="110">BZ4+1</f>
        <v>43916</v>
      </c>
      <c r="CD4" s="66"/>
      <c r="CE4" s="67"/>
      <c r="CF4" s="65">
        <f t="shared" ref="CF4" si="111">CC4+1</f>
        <v>43917</v>
      </c>
      <c r="CG4" s="66"/>
      <c r="CH4" s="67"/>
      <c r="CI4" s="65">
        <f t="shared" ref="CI4" si="112">CF4+1</f>
        <v>43918</v>
      </c>
      <c r="CJ4" s="66"/>
      <c r="CK4" s="67"/>
      <c r="CL4" s="65">
        <f t="shared" ref="CL4" si="113">CI4+1</f>
        <v>43919</v>
      </c>
      <c r="CM4" s="66"/>
      <c r="CN4" s="67"/>
      <c r="CO4" s="65">
        <f t="shared" ref="CO4" si="114">CL4+1</f>
        <v>43920</v>
      </c>
      <c r="CP4" s="66"/>
      <c r="CQ4" s="67"/>
      <c r="CR4" s="65">
        <f t="shared" ref="CR4" si="115">CO4+1</f>
        <v>43921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Domingo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Segunda-Feira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Terça-Feira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Quarta-Feira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Quinta-Feira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Sexta-Feira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Sábado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Domingo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Segunda-Feira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Terça-Feira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Quarta-Feira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Quinta-Feira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Sexta-Feira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Sábado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Domingo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Segunda-Feira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Terça-Feira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Quarta-Feira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Quinta-Feira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Sexta-Feira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Sábado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Domingo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Segunda-Feira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Terça-Feira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Quarta-Feira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Quinta-Feira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Sexta-Feira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Sábado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Domingo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Segunda-Feira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Terça-Feira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e">
        <f ca="1">HLOOKUP(TODAY(),$F$4:$CT$12,4,FALSE)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e">
        <f ca="1">HLOOKUP(TODAY(),$F$4:$CT$12,5,FALSE)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e">
        <f ca="1">HLOOKUP(TODAY(),$F$4:$CT$12,6,FALSE)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HLOOKUP(TODAY(),$F$4:$CT$12,7,FALSE)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HLOOKUP(TODAY(),$F$4:$CT$12,8,FALSE)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HLOOKUP(TODAY(),$F$4:$CT$12,9,FALSE)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0</v>
      </c>
      <c r="I36" s="18">
        <f t="shared" ref="I36:I44" si="147">COUNTIF($F$8:$CT$8,$G36)</f>
        <v>0</v>
      </c>
      <c r="J36" s="18">
        <f t="shared" ref="J36:J44" si="148">COUNTIF($F$9:$CT$9,$G36)</f>
        <v>0</v>
      </c>
      <c r="K36" s="18">
        <f t="shared" ref="K36:K44" si="149">COUNTIF($F$10:$CT$10,$G36)</f>
        <v>0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0</v>
      </c>
      <c r="I37" s="18">
        <f t="shared" si="147"/>
        <v>0</v>
      </c>
      <c r="J37" s="18">
        <f t="shared" si="148"/>
        <v>0</v>
      </c>
      <c r="K37" s="18">
        <f t="shared" si="149"/>
        <v>0</v>
      </c>
      <c r="L37" s="18">
        <f t="shared" si="150"/>
        <v>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0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0</v>
      </c>
      <c r="I46" s="18">
        <f>COUNTIF($F$8:$CT$8,$G46)</f>
        <v>0</v>
      </c>
      <c r="J46" s="18">
        <f>COUNTIF($F$9:$CT$9,$G46)</f>
        <v>0</v>
      </c>
      <c r="K46" s="18">
        <f>COUNTIF($F$10:$CT$10,$G46)</f>
        <v>0</v>
      </c>
      <c r="L46" s="18">
        <f>COUNTIF($F$11:$CT$11,$G46)</f>
        <v>0</v>
      </c>
      <c r="M46" s="18">
        <f>COUNTIF($F$12:$CT$12,$G46)</f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0</v>
      </c>
      <c r="I48" s="24">
        <f t="shared" si="153"/>
        <v>0</v>
      </c>
      <c r="J48" s="24">
        <f t="shared" si="153"/>
        <v>0</v>
      </c>
      <c r="K48" s="24">
        <f t="shared" si="153"/>
        <v>0</v>
      </c>
      <c r="L48" s="24">
        <f t="shared" si="153"/>
        <v>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0</v>
      </c>
      <c r="I49" s="24">
        <f t="shared" si="154"/>
        <v>0</v>
      </c>
      <c r="J49" s="24">
        <f t="shared" si="154"/>
        <v>0</v>
      </c>
      <c r="K49" s="24">
        <f t="shared" si="154"/>
        <v>0</v>
      </c>
      <c r="L49" s="24">
        <f t="shared" si="154"/>
        <v>0</v>
      </c>
      <c r="M49" s="24">
        <f t="shared" si="15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CF5:CH5"/>
    <mergeCell ref="CI5:CK5"/>
    <mergeCell ref="CL5:CN5"/>
    <mergeCell ref="CO5:CQ5"/>
    <mergeCell ref="CR5:CT5"/>
    <mergeCell ref="P14:AP14"/>
    <mergeCell ref="AR14:BD14"/>
    <mergeCell ref="BN5:BP5"/>
    <mergeCell ref="BQ5:BS5"/>
    <mergeCell ref="BT5:BV5"/>
    <mergeCell ref="AD5:AF5"/>
    <mergeCell ref="AG5:AI5"/>
    <mergeCell ref="AJ5:AL5"/>
    <mergeCell ref="AM5:AO5"/>
    <mergeCell ref="AP5:AR5"/>
    <mergeCell ref="AS5:AU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CO4:CQ4"/>
    <mergeCell ref="CR4:CT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AJ4:AL4"/>
    <mergeCell ref="A1:E1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conditionalFormatting sqref="F7:CT12">
    <cfRule type="expression" dxfId="119" priority="1">
      <formula>IF(F$3="Domingo",TRUE,FALSE)</formula>
    </cfRule>
    <cfRule type="expression" dxfId="118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117" priority="3" operator="equal">
      <formula>#REF!</formula>
    </cfRule>
    <cfRule type="cellIs" dxfId="116" priority="4" operator="equal">
      <formula>$A$60</formula>
    </cfRule>
    <cfRule type="cellIs" dxfId="115" priority="5" operator="equal">
      <formula>$A$67</formula>
    </cfRule>
    <cfRule type="cellIs" dxfId="114" priority="6" operator="equal">
      <formula>$A$66</formula>
    </cfRule>
    <cfRule type="cellIs" dxfId="113" priority="7" operator="equal">
      <formula>$A$65</formula>
    </cfRule>
    <cfRule type="cellIs" dxfId="112" priority="8" operator="equal">
      <formula>$A$64</formula>
    </cfRule>
    <cfRule type="cellIs" dxfId="111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110" priority="10" operator="equal">
      <formula>$A$62</formula>
    </cfRule>
    <cfRule type="cellIs" dxfId="109" priority="11" operator="equal">
      <formula>$A$61</formula>
    </cfRule>
    <cfRule type="cellIs" dxfId="108" priority="12" operator="equal">
      <formula>$A$68</formula>
    </cfRule>
  </conditionalFormatting>
  <dataValidations count="2">
    <dataValidation type="list" allowBlank="1" showInputMessage="1" showErrorMessage="1" sqref="CR7:CR12 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  <dataValidation type="list" allowBlank="1" showInputMessage="1" showErrorMessage="1" sqref="B7:B12">
      <formula1>$B$70:$B$79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B90"/>
  <sheetViews>
    <sheetView zoomScale="80" zoomScaleNormal="80" workbookViewId="0">
      <pane xSplit="5" ySplit="6" topLeftCell="F19" activePane="bottomRight" state="frozen"/>
      <selection activeCell="D53" sqref="D53"/>
      <selection pane="topRight" activeCell="D53" sqref="D53"/>
      <selection pane="bottomLeft" activeCell="D53" sqref="D53"/>
      <selection pane="bottomRight" activeCell="CX8" sqref="CX8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5" width="16.5703125" style="6" customWidth="1"/>
    <col min="96" max="96" width="9.140625" style="11" hidden="1" customWidth="1"/>
    <col min="97" max="97" width="15.5703125" style="11" hidden="1" customWidth="1"/>
    <col min="98" max="99" width="9.140625" style="11" hidden="1" customWidth="1"/>
    <col min="100" max="100" width="10" style="11" customWidth="1"/>
    <col min="101" max="106" width="9.140625" style="11"/>
    <col min="107" max="16384" width="9.140625" style="6"/>
  </cols>
  <sheetData>
    <row r="1" spans="1:101" ht="21.75" thickBot="1" x14ac:dyDescent="0.3">
      <c r="A1" s="68" t="str">
        <f>"Calendário de uso HPLC -  "&amp;IF(MONTH(F4)=1,CU1,IF(MONTH(F4)=2,CU2,IF(MONTH(F4)=3,CU3,IF(MONTH(F4)=4,CU4,IF(MONTH(F4)=5,CU5,IF(MONTH(F4)=6,CU6,IF(MONTH(F4)=7,CU7,IF(MONTH(F4)=8,CU8,IF(MONTH(F4)=9,CU9,IF(MONTH(F4)=10,CU10,IF(MONTH(F4)=11,CU11,IF(MONTH(F4)=12,CU12,"NA")))))))))))) &amp; "/" &amp; YEAR(F4) &amp; " - Equipe MP"</f>
        <v>Calendário de uso HPLC -  Abril/2020 -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R1" s="10">
        <v>1</v>
      </c>
      <c r="CS1" s="11" t="s">
        <v>53</v>
      </c>
      <c r="CT1" s="12">
        <v>1</v>
      </c>
      <c r="CU1" s="11" t="s">
        <v>60</v>
      </c>
    </row>
    <row r="2" spans="1:101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R2" s="10">
        <v>2</v>
      </c>
      <c r="CS2" s="11" t="s">
        <v>75</v>
      </c>
      <c r="CT2" s="12">
        <v>2</v>
      </c>
      <c r="CU2" s="11" t="s">
        <v>76</v>
      </c>
    </row>
    <row r="3" spans="1:101" ht="15.75" hidden="1" thickBot="1" x14ac:dyDescent="0.3">
      <c r="F3" s="18" t="str">
        <f>F5</f>
        <v>Quarta-Feira</v>
      </c>
      <c r="G3" s="18" t="str">
        <f>F5</f>
        <v>Quarta-Feira</v>
      </c>
      <c r="H3" s="18" t="str">
        <f>F5</f>
        <v>Quarta-Feira</v>
      </c>
      <c r="I3" s="18" t="str">
        <f>I5</f>
        <v>Quinta-Feira</v>
      </c>
      <c r="J3" s="6" t="str">
        <f>I5</f>
        <v>Quinta-Feira</v>
      </c>
      <c r="K3" s="6" t="str">
        <f>I5</f>
        <v>Quinta-Feira</v>
      </c>
      <c r="L3" s="6" t="str">
        <f t="shared" ref="L3" si="0">L5</f>
        <v>Sexta-Feira</v>
      </c>
      <c r="M3" s="6" t="str">
        <f t="shared" ref="M3" si="1">L5</f>
        <v>Sexta-Feira</v>
      </c>
      <c r="N3" s="6" t="str">
        <f t="shared" ref="N3" si="2">L5</f>
        <v>Sexta-Feira</v>
      </c>
      <c r="O3" s="6" t="str">
        <f t="shared" ref="O3" si="3">O5</f>
        <v>Sábado</v>
      </c>
      <c r="P3" s="6" t="str">
        <f t="shared" ref="P3" si="4">O5</f>
        <v>Sábado</v>
      </c>
      <c r="Q3" s="6" t="str">
        <f t="shared" ref="Q3" si="5">O5</f>
        <v>Sábado</v>
      </c>
      <c r="R3" s="6" t="str">
        <f t="shared" ref="R3" si="6">R5</f>
        <v>Domingo</v>
      </c>
      <c r="S3" s="6" t="str">
        <f t="shared" ref="S3" si="7">R5</f>
        <v>Domingo</v>
      </c>
      <c r="T3" s="6" t="str">
        <f t="shared" ref="T3" si="8">R5</f>
        <v>Domingo</v>
      </c>
      <c r="U3" s="6" t="str">
        <f t="shared" ref="U3" si="9">U5</f>
        <v>Segunda-Feira</v>
      </c>
      <c r="V3" s="6" t="str">
        <f t="shared" ref="V3" si="10">U5</f>
        <v>Segunda-Feira</v>
      </c>
      <c r="W3" s="6" t="str">
        <f t="shared" ref="W3" si="11">U5</f>
        <v>Segunda-Feira</v>
      </c>
      <c r="X3" s="6" t="str">
        <f t="shared" ref="X3" si="12">X5</f>
        <v>Terça-Feira</v>
      </c>
      <c r="Y3" s="6" t="str">
        <f t="shared" ref="Y3" si="13">X5</f>
        <v>Terça-Feira</v>
      </c>
      <c r="Z3" s="6" t="str">
        <f t="shared" ref="Z3" si="14">X5</f>
        <v>Terça-Feira</v>
      </c>
      <c r="AA3" s="6" t="str">
        <f t="shared" ref="AA3" si="15">AA5</f>
        <v>Quarta-Feira</v>
      </c>
      <c r="AB3" s="6" t="str">
        <f t="shared" ref="AB3" si="16">AA5</f>
        <v>Quarta-Feira</v>
      </c>
      <c r="AC3" s="6" t="str">
        <f t="shared" ref="AC3" si="17">AA5</f>
        <v>Quarta-Feira</v>
      </c>
      <c r="AD3" s="6" t="str">
        <f t="shared" ref="AD3" si="18">AD5</f>
        <v>Quinta-Feira</v>
      </c>
      <c r="AE3" s="6" t="str">
        <f t="shared" ref="AE3" si="19">AD5</f>
        <v>Quinta-Feira</v>
      </c>
      <c r="AF3" s="6" t="str">
        <f t="shared" ref="AF3" si="20">AD5</f>
        <v>Quinta-Feira</v>
      </c>
      <c r="AG3" s="6" t="str">
        <f t="shared" ref="AG3" si="21">AG5</f>
        <v>Sexta-Feira</v>
      </c>
      <c r="AH3" s="6" t="str">
        <f t="shared" ref="AH3" si="22">AG5</f>
        <v>Sexta-Feira</v>
      </c>
      <c r="AI3" s="6" t="str">
        <f t="shared" ref="AI3" si="23">AG5</f>
        <v>Sexta-Feira</v>
      </c>
      <c r="AJ3" s="6" t="str">
        <f t="shared" ref="AJ3" si="24">AJ5</f>
        <v>Sábado</v>
      </c>
      <c r="AK3" s="6" t="str">
        <f t="shared" ref="AK3" si="25">AJ5</f>
        <v>Sábado</v>
      </c>
      <c r="AL3" s="6" t="str">
        <f t="shared" ref="AL3" si="26">AJ5</f>
        <v>Sábado</v>
      </c>
      <c r="AM3" s="6" t="str">
        <f t="shared" ref="AM3" si="27">AM5</f>
        <v>Domingo</v>
      </c>
      <c r="AN3" s="6" t="str">
        <f t="shared" ref="AN3" si="28">AM5</f>
        <v>Domingo</v>
      </c>
      <c r="AO3" s="6" t="str">
        <f t="shared" ref="AO3" si="29">AM5</f>
        <v>Domingo</v>
      </c>
      <c r="AP3" s="6" t="str">
        <f t="shared" ref="AP3" si="30">AP5</f>
        <v>Segunda-Feira</v>
      </c>
      <c r="AQ3" s="6" t="str">
        <f t="shared" ref="AQ3" si="31">AP5</f>
        <v>Segunda-Feira</v>
      </c>
      <c r="AR3" s="6" t="str">
        <f t="shared" ref="AR3" si="32">AP5</f>
        <v>Segunda-Feira</v>
      </c>
      <c r="AS3" s="6" t="str">
        <f t="shared" ref="AS3" si="33">AS5</f>
        <v>Terça-Feira</v>
      </c>
      <c r="AT3" s="6" t="str">
        <f t="shared" ref="AT3" si="34">AS5</f>
        <v>Terça-Feira</v>
      </c>
      <c r="AU3" s="6" t="str">
        <f t="shared" ref="AU3" si="35">AS5</f>
        <v>Terça-Feira</v>
      </c>
      <c r="AV3" s="6" t="str">
        <f t="shared" ref="AV3" si="36">AV5</f>
        <v>Quarta-Feira</v>
      </c>
      <c r="AW3" s="6" t="str">
        <f t="shared" ref="AW3" si="37">AV5</f>
        <v>Quarta-Feira</v>
      </c>
      <c r="AX3" s="6" t="str">
        <f t="shared" ref="AX3" si="38">AV5</f>
        <v>Quarta-Feira</v>
      </c>
      <c r="AY3" s="6" t="str">
        <f t="shared" ref="AY3" si="39">AY5</f>
        <v>Quinta-Feira</v>
      </c>
      <c r="AZ3" s="6" t="str">
        <f t="shared" ref="AZ3" si="40">AY5</f>
        <v>Quinta-Feira</v>
      </c>
      <c r="BA3" s="6" t="str">
        <f t="shared" ref="BA3" si="41">AY5</f>
        <v>Quinta-Feira</v>
      </c>
      <c r="BB3" s="6" t="str">
        <f t="shared" ref="BB3" si="42">BB5</f>
        <v>Sexta-Feira</v>
      </c>
      <c r="BC3" s="6" t="str">
        <f t="shared" ref="BC3" si="43">BB5</f>
        <v>Sexta-Feira</v>
      </c>
      <c r="BD3" s="6" t="str">
        <f t="shared" ref="BD3" si="44">BB5</f>
        <v>Sexta-Feira</v>
      </c>
      <c r="BE3" s="6" t="str">
        <f t="shared" ref="BE3" si="45">BE5</f>
        <v>Sábado</v>
      </c>
      <c r="BF3" s="6" t="str">
        <f t="shared" ref="BF3" si="46">BE5</f>
        <v>Sábado</v>
      </c>
      <c r="BG3" s="6" t="str">
        <f t="shared" ref="BG3" si="47">BE5</f>
        <v>Sábado</v>
      </c>
      <c r="BH3" s="6" t="str">
        <f t="shared" ref="BH3" si="48">BH5</f>
        <v>Domingo</v>
      </c>
      <c r="BI3" s="6" t="str">
        <f t="shared" ref="BI3" si="49">BH5</f>
        <v>Domingo</v>
      </c>
      <c r="BJ3" s="6" t="str">
        <f t="shared" ref="BJ3" si="50">BH5</f>
        <v>Domingo</v>
      </c>
      <c r="BK3" s="6" t="str">
        <f t="shared" ref="BK3" si="51">BK5</f>
        <v>Segunda-Feira</v>
      </c>
      <c r="BL3" s="6" t="str">
        <f t="shared" ref="BL3" si="52">BK5</f>
        <v>Segunda-Feira</v>
      </c>
      <c r="BM3" s="6" t="str">
        <f t="shared" ref="BM3" si="53">BK5</f>
        <v>Segunda-Feira</v>
      </c>
      <c r="BN3" s="6" t="str">
        <f t="shared" ref="BN3" si="54">BN5</f>
        <v>Terça-Feira</v>
      </c>
      <c r="BO3" s="6" t="str">
        <f t="shared" ref="BO3" si="55">BN5</f>
        <v>Terça-Feira</v>
      </c>
      <c r="BP3" s="6" t="str">
        <f t="shared" ref="BP3" si="56">BN5</f>
        <v>Terça-Feira</v>
      </c>
      <c r="BQ3" s="6" t="str">
        <f t="shared" ref="BQ3" si="57">BQ5</f>
        <v>Quarta-Feira</v>
      </c>
      <c r="BR3" s="6" t="str">
        <f t="shared" ref="BR3" si="58">BQ5</f>
        <v>Quarta-Feira</v>
      </c>
      <c r="BS3" s="6" t="str">
        <f t="shared" ref="BS3" si="59">BQ5</f>
        <v>Quarta-Feira</v>
      </c>
      <c r="BT3" s="6" t="str">
        <f t="shared" ref="BT3" si="60">BT5</f>
        <v>Quinta-Feira</v>
      </c>
      <c r="BU3" s="6" t="str">
        <f t="shared" ref="BU3" si="61">BT5</f>
        <v>Quinta-Feira</v>
      </c>
      <c r="BV3" s="6" t="str">
        <f t="shared" ref="BV3" si="62">BT5</f>
        <v>Quinta-Feira</v>
      </c>
      <c r="BW3" s="6" t="str">
        <f t="shared" ref="BW3" si="63">BW5</f>
        <v>Sexta-Feira</v>
      </c>
      <c r="BX3" s="6" t="str">
        <f t="shared" ref="BX3" si="64">BW5</f>
        <v>Sexta-Feira</v>
      </c>
      <c r="BY3" s="6" t="str">
        <f t="shared" ref="BY3" si="65">BW5</f>
        <v>Sexta-Feira</v>
      </c>
      <c r="BZ3" s="6" t="str">
        <f t="shared" ref="BZ3" si="66">BZ5</f>
        <v>Sábado</v>
      </c>
      <c r="CA3" s="6" t="str">
        <f t="shared" ref="CA3" si="67">BZ5</f>
        <v>Sábado</v>
      </c>
      <c r="CB3" s="6" t="str">
        <f t="shared" ref="CB3" si="68">BZ5</f>
        <v>Sábado</v>
      </c>
      <c r="CC3" s="6" t="str">
        <f t="shared" ref="CC3" si="69">CC5</f>
        <v>Domingo</v>
      </c>
      <c r="CD3" s="6" t="str">
        <f t="shared" ref="CD3" si="70">CC5</f>
        <v>Domingo</v>
      </c>
      <c r="CE3" s="6" t="str">
        <f t="shared" ref="CE3" si="71">CC5</f>
        <v>Domingo</v>
      </c>
      <c r="CF3" s="6" t="str">
        <f t="shared" ref="CF3" si="72">CF5</f>
        <v>Segunda-Feira</v>
      </c>
      <c r="CG3" s="6" t="str">
        <f t="shared" ref="CG3" si="73">CF5</f>
        <v>Segunda-Feira</v>
      </c>
      <c r="CH3" s="6" t="str">
        <f t="shared" ref="CH3" si="74">CF5</f>
        <v>Segunda-Feira</v>
      </c>
      <c r="CI3" s="6" t="str">
        <f t="shared" ref="CI3" si="75">CI5</f>
        <v>Terça-Feira</v>
      </c>
      <c r="CJ3" s="6" t="str">
        <f t="shared" ref="CJ3" si="76">CI5</f>
        <v>Terça-Feira</v>
      </c>
      <c r="CK3" s="6" t="str">
        <f t="shared" ref="CK3" si="77">CI5</f>
        <v>Terça-Feira</v>
      </c>
      <c r="CL3" s="6" t="str">
        <f t="shared" ref="CL3" si="78">CL5</f>
        <v>Quarta-Feira</v>
      </c>
      <c r="CM3" s="6" t="str">
        <f t="shared" ref="CM3" si="79">CL5</f>
        <v>Quarta-Feira</v>
      </c>
      <c r="CN3" s="6" t="str">
        <f t="shared" ref="CN3" si="80">CL5</f>
        <v>Quarta-Feira</v>
      </c>
      <c r="CO3" s="6" t="str">
        <f t="shared" ref="CO3" si="81">CO5</f>
        <v>Quinta-Feira</v>
      </c>
      <c r="CP3" s="6" t="str">
        <f t="shared" ref="CP3" si="82">CO5</f>
        <v>Quinta-Feira</v>
      </c>
      <c r="CQ3" s="6" t="str">
        <f t="shared" ref="CQ3" si="83">CO5</f>
        <v>Quinta-Feira</v>
      </c>
      <c r="CR3" s="10">
        <v>3</v>
      </c>
      <c r="CS3" s="11" t="s">
        <v>54</v>
      </c>
      <c r="CT3" s="12">
        <v>3</v>
      </c>
      <c r="CU3" s="11" t="s">
        <v>61</v>
      </c>
      <c r="CV3" s="6"/>
      <c r="CW3" s="6"/>
    </row>
    <row r="4" spans="1:101" x14ac:dyDescent="0.25">
      <c r="F4" s="65">
        <v>43922</v>
      </c>
      <c r="G4" s="66"/>
      <c r="H4" s="67"/>
      <c r="I4" s="65">
        <f>F4+1</f>
        <v>43923</v>
      </c>
      <c r="J4" s="66"/>
      <c r="K4" s="67"/>
      <c r="L4" s="65">
        <f t="shared" ref="L4" si="84">I4+1</f>
        <v>43924</v>
      </c>
      <c r="M4" s="66"/>
      <c r="N4" s="67"/>
      <c r="O4" s="65">
        <f t="shared" ref="O4" si="85">L4+1</f>
        <v>43925</v>
      </c>
      <c r="P4" s="66"/>
      <c r="Q4" s="67"/>
      <c r="R4" s="65">
        <f t="shared" ref="R4" si="86">O4+1</f>
        <v>43926</v>
      </c>
      <c r="S4" s="66"/>
      <c r="T4" s="67"/>
      <c r="U4" s="65">
        <f t="shared" ref="U4" si="87">R4+1</f>
        <v>43927</v>
      </c>
      <c r="V4" s="66"/>
      <c r="W4" s="67"/>
      <c r="X4" s="65">
        <f t="shared" ref="X4" si="88">U4+1</f>
        <v>43928</v>
      </c>
      <c r="Y4" s="66"/>
      <c r="Z4" s="67"/>
      <c r="AA4" s="65">
        <f t="shared" ref="AA4" si="89">X4+1</f>
        <v>43929</v>
      </c>
      <c r="AB4" s="66"/>
      <c r="AC4" s="67"/>
      <c r="AD4" s="65">
        <f t="shared" ref="AD4" si="90">AA4+1</f>
        <v>43930</v>
      </c>
      <c r="AE4" s="66"/>
      <c r="AF4" s="67"/>
      <c r="AG4" s="65">
        <f t="shared" ref="AG4" si="91">AD4+1</f>
        <v>43931</v>
      </c>
      <c r="AH4" s="66"/>
      <c r="AI4" s="67"/>
      <c r="AJ4" s="65">
        <f t="shared" ref="AJ4" si="92">AG4+1</f>
        <v>43932</v>
      </c>
      <c r="AK4" s="66"/>
      <c r="AL4" s="67"/>
      <c r="AM4" s="65">
        <f t="shared" ref="AM4" si="93">AJ4+1</f>
        <v>43933</v>
      </c>
      <c r="AN4" s="66"/>
      <c r="AO4" s="67"/>
      <c r="AP4" s="65">
        <f t="shared" ref="AP4" si="94">AM4+1</f>
        <v>43934</v>
      </c>
      <c r="AQ4" s="66"/>
      <c r="AR4" s="67"/>
      <c r="AS4" s="65">
        <f t="shared" ref="AS4" si="95">AP4+1</f>
        <v>43935</v>
      </c>
      <c r="AT4" s="66"/>
      <c r="AU4" s="67"/>
      <c r="AV4" s="65">
        <f t="shared" ref="AV4" si="96">AS4+1</f>
        <v>43936</v>
      </c>
      <c r="AW4" s="66"/>
      <c r="AX4" s="67"/>
      <c r="AY4" s="65">
        <f t="shared" ref="AY4" si="97">AV4+1</f>
        <v>43937</v>
      </c>
      <c r="AZ4" s="66"/>
      <c r="BA4" s="67"/>
      <c r="BB4" s="65">
        <f t="shared" ref="BB4" si="98">AY4+1</f>
        <v>43938</v>
      </c>
      <c r="BC4" s="66"/>
      <c r="BD4" s="67"/>
      <c r="BE4" s="65">
        <f t="shared" ref="BE4" si="99">BB4+1</f>
        <v>43939</v>
      </c>
      <c r="BF4" s="66"/>
      <c r="BG4" s="67"/>
      <c r="BH4" s="65">
        <f t="shared" ref="BH4" si="100">BE4+1</f>
        <v>43940</v>
      </c>
      <c r="BI4" s="66"/>
      <c r="BJ4" s="67"/>
      <c r="BK4" s="65">
        <f t="shared" ref="BK4" si="101">BH4+1</f>
        <v>43941</v>
      </c>
      <c r="BL4" s="66"/>
      <c r="BM4" s="67"/>
      <c r="BN4" s="65">
        <f t="shared" ref="BN4" si="102">BK4+1</f>
        <v>43942</v>
      </c>
      <c r="BO4" s="66"/>
      <c r="BP4" s="67"/>
      <c r="BQ4" s="65">
        <f t="shared" ref="BQ4" si="103">BN4+1</f>
        <v>43943</v>
      </c>
      <c r="BR4" s="66"/>
      <c r="BS4" s="67"/>
      <c r="BT4" s="65">
        <f t="shared" ref="BT4" si="104">BQ4+1</f>
        <v>43944</v>
      </c>
      <c r="BU4" s="66"/>
      <c r="BV4" s="67"/>
      <c r="BW4" s="65">
        <f t="shared" ref="BW4" si="105">BT4+1</f>
        <v>43945</v>
      </c>
      <c r="BX4" s="66"/>
      <c r="BY4" s="67"/>
      <c r="BZ4" s="65">
        <f t="shared" ref="BZ4" si="106">BW4+1</f>
        <v>43946</v>
      </c>
      <c r="CA4" s="66"/>
      <c r="CB4" s="67"/>
      <c r="CC4" s="65">
        <f t="shared" ref="CC4" si="107">BZ4+1</f>
        <v>43947</v>
      </c>
      <c r="CD4" s="66"/>
      <c r="CE4" s="67"/>
      <c r="CF4" s="65">
        <f t="shared" ref="CF4" si="108">CC4+1</f>
        <v>43948</v>
      </c>
      <c r="CG4" s="66"/>
      <c r="CH4" s="67"/>
      <c r="CI4" s="65">
        <f t="shared" ref="CI4" si="109">CF4+1</f>
        <v>43949</v>
      </c>
      <c r="CJ4" s="66"/>
      <c r="CK4" s="67"/>
      <c r="CL4" s="65">
        <f t="shared" ref="CL4" si="110">CI4+1</f>
        <v>43950</v>
      </c>
      <c r="CM4" s="66"/>
      <c r="CN4" s="67"/>
      <c r="CO4" s="65">
        <f t="shared" ref="CO4" si="111">CL4+1</f>
        <v>43951</v>
      </c>
      <c r="CP4" s="66"/>
      <c r="CQ4" s="67"/>
      <c r="CR4" s="10">
        <v>4</v>
      </c>
      <c r="CS4" s="11" t="s">
        <v>55</v>
      </c>
      <c r="CT4" s="12">
        <v>4</v>
      </c>
      <c r="CU4" s="11" t="s">
        <v>63</v>
      </c>
    </row>
    <row r="5" spans="1:101" ht="15.75" thickBot="1" x14ac:dyDescent="0.3">
      <c r="A5" s="13"/>
      <c r="F5" s="57" t="str">
        <f>IF(WEEKDAY(F4,2)=1,$CS$1,IF(WEEKDAY(F4,2)=2,$CS$2,IF(WEEKDAY(F4,2)=3,$CS$3,IF(WEEKDAY(F4,2)=4,$CS$4,IF(WEEKDAY(F4,2)=5,$CS$5,IF(WEEKDAY(F4,2)=6,$CS$6,IF(WEEKDAY(F4,2)=7,$CS$7,"ERRO")))))))</f>
        <v>Quarta-Feira</v>
      </c>
      <c r="G5" s="58"/>
      <c r="H5" s="59"/>
      <c r="I5" s="57" t="str">
        <f t="shared" ref="I5" si="112">IF(WEEKDAY(I4,2)=1,$CS$1,IF(WEEKDAY(I4,2)=2,$CS$2,IF(WEEKDAY(I4,2)=3,$CS$3,IF(WEEKDAY(I4,2)=4,$CS$4,IF(WEEKDAY(I4,2)=5,$CS$5,IF(WEEKDAY(I4,2)=6,$CS$6,IF(WEEKDAY(I4,2)=7,$CS$7,"ERRO")))))))</f>
        <v>Quinta-Feira</v>
      </c>
      <c r="J5" s="58"/>
      <c r="K5" s="59"/>
      <c r="L5" s="57" t="str">
        <f t="shared" ref="L5" si="113">IF(WEEKDAY(L4,2)=1,$CS$1,IF(WEEKDAY(L4,2)=2,$CS$2,IF(WEEKDAY(L4,2)=3,$CS$3,IF(WEEKDAY(L4,2)=4,$CS$4,IF(WEEKDAY(L4,2)=5,$CS$5,IF(WEEKDAY(L4,2)=6,$CS$6,IF(WEEKDAY(L4,2)=7,$CS$7,"ERRO")))))))</f>
        <v>Sexta-Feira</v>
      </c>
      <c r="M5" s="58"/>
      <c r="N5" s="59"/>
      <c r="O5" s="57" t="str">
        <f t="shared" ref="O5" si="114">IF(WEEKDAY(O4,2)=1,$CS$1,IF(WEEKDAY(O4,2)=2,$CS$2,IF(WEEKDAY(O4,2)=3,$CS$3,IF(WEEKDAY(O4,2)=4,$CS$4,IF(WEEKDAY(O4,2)=5,$CS$5,IF(WEEKDAY(O4,2)=6,$CS$6,IF(WEEKDAY(O4,2)=7,$CS$7,"ERRO")))))))</f>
        <v>Sábado</v>
      </c>
      <c r="P5" s="58"/>
      <c r="Q5" s="59"/>
      <c r="R5" s="57" t="str">
        <f t="shared" ref="R5" si="115">IF(WEEKDAY(R4,2)=1,$CS$1,IF(WEEKDAY(R4,2)=2,$CS$2,IF(WEEKDAY(R4,2)=3,$CS$3,IF(WEEKDAY(R4,2)=4,$CS$4,IF(WEEKDAY(R4,2)=5,$CS$5,IF(WEEKDAY(R4,2)=6,$CS$6,IF(WEEKDAY(R4,2)=7,$CS$7,"ERRO")))))))</f>
        <v>Domingo</v>
      </c>
      <c r="S5" s="58"/>
      <c r="T5" s="59"/>
      <c r="U5" s="57" t="str">
        <f t="shared" ref="U5" si="116">IF(WEEKDAY(U4,2)=1,$CS$1,IF(WEEKDAY(U4,2)=2,$CS$2,IF(WEEKDAY(U4,2)=3,$CS$3,IF(WEEKDAY(U4,2)=4,$CS$4,IF(WEEKDAY(U4,2)=5,$CS$5,IF(WEEKDAY(U4,2)=6,$CS$6,IF(WEEKDAY(U4,2)=7,$CS$7,"ERRO")))))))</f>
        <v>Segunda-Feira</v>
      </c>
      <c r="V5" s="58"/>
      <c r="W5" s="59"/>
      <c r="X5" s="57" t="str">
        <f t="shared" ref="X5" si="117">IF(WEEKDAY(X4,2)=1,$CS$1,IF(WEEKDAY(X4,2)=2,$CS$2,IF(WEEKDAY(X4,2)=3,$CS$3,IF(WEEKDAY(X4,2)=4,$CS$4,IF(WEEKDAY(X4,2)=5,$CS$5,IF(WEEKDAY(X4,2)=6,$CS$6,IF(WEEKDAY(X4,2)=7,$CS$7,"ERRO")))))))</f>
        <v>Terça-Feira</v>
      </c>
      <c r="Y5" s="58"/>
      <c r="Z5" s="59"/>
      <c r="AA5" s="57" t="str">
        <f t="shared" ref="AA5" si="118">IF(WEEKDAY(AA4,2)=1,$CS$1,IF(WEEKDAY(AA4,2)=2,$CS$2,IF(WEEKDAY(AA4,2)=3,$CS$3,IF(WEEKDAY(AA4,2)=4,$CS$4,IF(WEEKDAY(AA4,2)=5,$CS$5,IF(WEEKDAY(AA4,2)=6,$CS$6,IF(WEEKDAY(AA4,2)=7,$CS$7,"ERRO")))))))</f>
        <v>Quarta-Feira</v>
      </c>
      <c r="AB5" s="58"/>
      <c r="AC5" s="59"/>
      <c r="AD5" s="57" t="str">
        <f t="shared" ref="AD5" si="119">IF(WEEKDAY(AD4,2)=1,$CS$1,IF(WEEKDAY(AD4,2)=2,$CS$2,IF(WEEKDAY(AD4,2)=3,$CS$3,IF(WEEKDAY(AD4,2)=4,$CS$4,IF(WEEKDAY(AD4,2)=5,$CS$5,IF(WEEKDAY(AD4,2)=6,$CS$6,IF(WEEKDAY(AD4,2)=7,$CS$7,"ERRO")))))))</f>
        <v>Quinta-Feira</v>
      </c>
      <c r="AE5" s="58"/>
      <c r="AF5" s="59"/>
      <c r="AG5" s="57" t="str">
        <f t="shared" ref="AG5" si="120">IF(WEEKDAY(AG4,2)=1,$CS$1,IF(WEEKDAY(AG4,2)=2,$CS$2,IF(WEEKDAY(AG4,2)=3,$CS$3,IF(WEEKDAY(AG4,2)=4,$CS$4,IF(WEEKDAY(AG4,2)=5,$CS$5,IF(WEEKDAY(AG4,2)=6,$CS$6,IF(WEEKDAY(AG4,2)=7,$CS$7,"ERRO")))))))</f>
        <v>Sexta-Feira</v>
      </c>
      <c r="AH5" s="58"/>
      <c r="AI5" s="59"/>
      <c r="AJ5" s="57" t="str">
        <f t="shared" ref="AJ5" si="121">IF(WEEKDAY(AJ4,2)=1,$CS$1,IF(WEEKDAY(AJ4,2)=2,$CS$2,IF(WEEKDAY(AJ4,2)=3,$CS$3,IF(WEEKDAY(AJ4,2)=4,$CS$4,IF(WEEKDAY(AJ4,2)=5,$CS$5,IF(WEEKDAY(AJ4,2)=6,$CS$6,IF(WEEKDAY(AJ4,2)=7,$CS$7,"ERRO")))))))</f>
        <v>Sábado</v>
      </c>
      <c r="AK5" s="58"/>
      <c r="AL5" s="59"/>
      <c r="AM5" s="57" t="str">
        <f t="shared" ref="AM5" si="122">IF(WEEKDAY(AM4,2)=1,$CS$1,IF(WEEKDAY(AM4,2)=2,$CS$2,IF(WEEKDAY(AM4,2)=3,$CS$3,IF(WEEKDAY(AM4,2)=4,$CS$4,IF(WEEKDAY(AM4,2)=5,$CS$5,IF(WEEKDAY(AM4,2)=6,$CS$6,IF(WEEKDAY(AM4,2)=7,$CS$7,"ERRO")))))))</f>
        <v>Domingo</v>
      </c>
      <c r="AN5" s="58"/>
      <c r="AO5" s="59"/>
      <c r="AP5" s="57" t="str">
        <f t="shared" ref="AP5" si="123">IF(WEEKDAY(AP4,2)=1,$CS$1,IF(WEEKDAY(AP4,2)=2,$CS$2,IF(WEEKDAY(AP4,2)=3,$CS$3,IF(WEEKDAY(AP4,2)=4,$CS$4,IF(WEEKDAY(AP4,2)=5,$CS$5,IF(WEEKDAY(AP4,2)=6,$CS$6,IF(WEEKDAY(AP4,2)=7,$CS$7,"ERRO")))))))</f>
        <v>Segunda-Feira</v>
      </c>
      <c r="AQ5" s="58"/>
      <c r="AR5" s="59"/>
      <c r="AS5" s="57" t="str">
        <f t="shared" ref="AS5" si="124">IF(WEEKDAY(AS4,2)=1,$CS$1,IF(WEEKDAY(AS4,2)=2,$CS$2,IF(WEEKDAY(AS4,2)=3,$CS$3,IF(WEEKDAY(AS4,2)=4,$CS$4,IF(WEEKDAY(AS4,2)=5,$CS$5,IF(WEEKDAY(AS4,2)=6,$CS$6,IF(WEEKDAY(AS4,2)=7,$CS$7,"ERRO")))))))</f>
        <v>Terça-Feira</v>
      </c>
      <c r="AT5" s="58"/>
      <c r="AU5" s="59"/>
      <c r="AV5" s="57" t="str">
        <f t="shared" ref="AV5" si="125">IF(WEEKDAY(AV4,2)=1,$CS$1,IF(WEEKDAY(AV4,2)=2,$CS$2,IF(WEEKDAY(AV4,2)=3,$CS$3,IF(WEEKDAY(AV4,2)=4,$CS$4,IF(WEEKDAY(AV4,2)=5,$CS$5,IF(WEEKDAY(AV4,2)=6,$CS$6,IF(WEEKDAY(AV4,2)=7,$CS$7,"ERRO")))))))</f>
        <v>Quarta-Feira</v>
      </c>
      <c r="AW5" s="58"/>
      <c r="AX5" s="59"/>
      <c r="AY5" s="57" t="str">
        <f t="shared" ref="AY5" si="126">IF(WEEKDAY(AY4,2)=1,$CS$1,IF(WEEKDAY(AY4,2)=2,$CS$2,IF(WEEKDAY(AY4,2)=3,$CS$3,IF(WEEKDAY(AY4,2)=4,$CS$4,IF(WEEKDAY(AY4,2)=5,$CS$5,IF(WEEKDAY(AY4,2)=6,$CS$6,IF(WEEKDAY(AY4,2)=7,$CS$7,"ERRO")))))))</f>
        <v>Quinta-Feira</v>
      </c>
      <c r="AZ5" s="58"/>
      <c r="BA5" s="59"/>
      <c r="BB5" s="57" t="str">
        <f t="shared" ref="BB5" si="127">IF(WEEKDAY(BB4,2)=1,$CS$1,IF(WEEKDAY(BB4,2)=2,$CS$2,IF(WEEKDAY(BB4,2)=3,$CS$3,IF(WEEKDAY(BB4,2)=4,$CS$4,IF(WEEKDAY(BB4,2)=5,$CS$5,IF(WEEKDAY(BB4,2)=6,$CS$6,IF(WEEKDAY(BB4,2)=7,$CS$7,"ERRO")))))))</f>
        <v>Sexta-Feira</v>
      </c>
      <c r="BC5" s="58"/>
      <c r="BD5" s="59"/>
      <c r="BE5" s="57" t="str">
        <f t="shared" ref="BE5" si="128">IF(WEEKDAY(BE4,2)=1,$CS$1,IF(WEEKDAY(BE4,2)=2,$CS$2,IF(WEEKDAY(BE4,2)=3,$CS$3,IF(WEEKDAY(BE4,2)=4,$CS$4,IF(WEEKDAY(BE4,2)=5,$CS$5,IF(WEEKDAY(BE4,2)=6,$CS$6,IF(WEEKDAY(BE4,2)=7,$CS$7,"ERRO")))))))</f>
        <v>Sábado</v>
      </c>
      <c r="BF5" s="58"/>
      <c r="BG5" s="59"/>
      <c r="BH5" s="57" t="str">
        <f t="shared" ref="BH5" si="129">IF(WEEKDAY(BH4,2)=1,$CS$1,IF(WEEKDAY(BH4,2)=2,$CS$2,IF(WEEKDAY(BH4,2)=3,$CS$3,IF(WEEKDAY(BH4,2)=4,$CS$4,IF(WEEKDAY(BH4,2)=5,$CS$5,IF(WEEKDAY(BH4,2)=6,$CS$6,IF(WEEKDAY(BH4,2)=7,$CS$7,"ERRO")))))))</f>
        <v>Domingo</v>
      </c>
      <c r="BI5" s="58"/>
      <c r="BJ5" s="59"/>
      <c r="BK5" s="57" t="str">
        <f t="shared" ref="BK5" si="130">IF(WEEKDAY(BK4,2)=1,$CS$1,IF(WEEKDAY(BK4,2)=2,$CS$2,IF(WEEKDAY(BK4,2)=3,$CS$3,IF(WEEKDAY(BK4,2)=4,$CS$4,IF(WEEKDAY(BK4,2)=5,$CS$5,IF(WEEKDAY(BK4,2)=6,$CS$6,IF(WEEKDAY(BK4,2)=7,$CS$7,"ERRO")))))))</f>
        <v>Segunda-Feira</v>
      </c>
      <c r="BL5" s="58"/>
      <c r="BM5" s="59"/>
      <c r="BN5" s="57" t="str">
        <f t="shared" ref="BN5" si="131">IF(WEEKDAY(BN4,2)=1,$CS$1,IF(WEEKDAY(BN4,2)=2,$CS$2,IF(WEEKDAY(BN4,2)=3,$CS$3,IF(WEEKDAY(BN4,2)=4,$CS$4,IF(WEEKDAY(BN4,2)=5,$CS$5,IF(WEEKDAY(BN4,2)=6,$CS$6,IF(WEEKDAY(BN4,2)=7,$CS$7,"ERRO")))))))</f>
        <v>Terça-Feira</v>
      </c>
      <c r="BO5" s="58"/>
      <c r="BP5" s="59"/>
      <c r="BQ5" s="57" t="str">
        <f t="shared" ref="BQ5" si="132">IF(WEEKDAY(BQ4,2)=1,$CS$1,IF(WEEKDAY(BQ4,2)=2,$CS$2,IF(WEEKDAY(BQ4,2)=3,$CS$3,IF(WEEKDAY(BQ4,2)=4,$CS$4,IF(WEEKDAY(BQ4,2)=5,$CS$5,IF(WEEKDAY(BQ4,2)=6,$CS$6,IF(WEEKDAY(BQ4,2)=7,$CS$7,"ERRO")))))))</f>
        <v>Quarta-Feira</v>
      </c>
      <c r="BR5" s="58"/>
      <c r="BS5" s="59"/>
      <c r="BT5" s="57" t="str">
        <f t="shared" ref="BT5" si="133">IF(WEEKDAY(BT4,2)=1,$CS$1,IF(WEEKDAY(BT4,2)=2,$CS$2,IF(WEEKDAY(BT4,2)=3,$CS$3,IF(WEEKDAY(BT4,2)=4,$CS$4,IF(WEEKDAY(BT4,2)=5,$CS$5,IF(WEEKDAY(BT4,2)=6,$CS$6,IF(WEEKDAY(BT4,2)=7,$CS$7,"ERRO")))))))</f>
        <v>Quinta-Feira</v>
      </c>
      <c r="BU5" s="58"/>
      <c r="BV5" s="59"/>
      <c r="BW5" s="57" t="str">
        <f t="shared" ref="BW5" si="134">IF(WEEKDAY(BW4,2)=1,$CS$1,IF(WEEKDAY(BW4,2)=2,$CS$2,IF(WEEKDAY(BW4,2)=3,$CS$3,IF(WEEKDAY(BW4,2)=4,$CS$4,IF(WEEKDAY(BW4,2)=5,$CS$5,IF(WEEKDAY(BW4,2)=6,$CS$6,IF(WEEKDAY(BW4,2)=7,$CS$7,"ERRO")))))))</f>
        <v>Sexta-Feira</v>
      </c>
      <c r="BX5" s="58"/>
      <c r="BY5" s="59"/>
      <c r="BZ5" s="57" t="str">
        <f t="shared" ref="BZ5" si="135">IF(WEEKDAY(BZ4,2)=1,$CS$1,IF(WEEKDAY(BZ4,2)=2,$CS$2,IF(WEEKDAY(BZ4,2)=3,$CS$3,IF(WEEKDAY(BZ4,2)=4,$CS$4,IF(WEEKDAY(BZ4,2)=5,$CS$5,IF(WEEKDAY(BZ4,2)=6,$CS$6,IF(WEEKDAY(BZ4,2)=7,$CS$7,"ERRO")))))))</f>
        <v>Sábado</v>
      </c>
      <c r="CA5" s="58"/>
      <c r="CB5" s="59"/>
      <c r="CC5" s="57" t="str">
        <f t="shared" ref="CC5" si="136">IF(WEEKDAY(CC4,2)=1,$CS$1,IF(WEEKDAY(CC4,2)=2,$CS$2,IF(WEEKDAY(CC4,2)=3,$CS$3,IF(WEEKDAY(CC4,2)=4,$CS$4,IF(WEEKDAY(CC4,2)=5,$CS$5,IF(WEEKDAY(CC4,2)=6,$CS$6,IF(WEEKDAY(CC4,2)=7,$CS$7,"ERRO")))))))</f>
        <v>Domingo</v>
      </c>
      <c r="CD5" s="58"/>
      <c r="CE5" s="59"/>
      <c r="CF5" s="57" t="str">
        <f t="shared" ref="CF5" si="137">IF(WEEKDAY(CF4,2)=1,$CS$1,IF(WEEKDAY(CF4,2)=2,$CS$2,IF(WEEKDAY(CF4,2)=3,$CS$3,IF(WEEKDAY(CF4,2)=4,$CS$4,IF(WEEKDAY(CF4,2)=5,$CS$5,IF(WEEKDAY(CF4,2)=6,$CS$6,IF(WEEKDAY(CF4,2)=7,$CS$7,"ERRO")))))))</f>
        <v>Segunda-Feira</v>
      </c>
      <c r="CG5" s="58"/>
      <c r="CH5" s="59"/>
      <c r="CI5" s="57" t="str">
        <f t="shared" ref="CI5" si="138">IF(WEEKDAY(CI4,2)=1,$CS$1,IF(WEEKDAY(CI4,2)=2,$CS$2,IF(WEEKDAY(CI4,2)=3,$CS$3,IF(WEEKDAY(CI4,2)=4,$CS$4,IF(WEEKDAY(CI4,2)=5,$CS$5,IF(WEEKDAY(CI4,2)=6,$CS$6,IF(WEEKDAY(CI4,2)=7,$CS$7,"ERRO")))))))</f>
        <v>Terça-Feira</v>
      </c>
      <c r="CJ5" s="58"/>
      <c r="CK5" s="59"/>
      <c r="CL5" s="57" t="str">
        <f t="shared" ref="CL5" si="139">IF(WEEKDAY(CL4,2)=1,$CS$1,IF(WEEKDAY(CL4,2)=2,$CS$2,IF(WEEKDAY(CL4,2)=3,$CS$3,IF(WEEKDAY(CL4,2)=4,$CS$4,IF(WEEKDAY(CL4,2)=5,$CS$5,IF(WEEKDAY(CL4,2)=6,$CS$6,IF(WEEKDAY(CL4,2)=7,$CS$7,"ERRO")))))))</f>
        <v>Quarta-Feira</v>
      </c>
      <c r="CM5" s="58"/>
      <c r="CN5" s="59"/>
      <c r="CO5" s="57" t="str">
        <f t="shared" ref="CO5" si="140">IF(WEEKDAY(CO4,2)=1,$CS$1,IF(WEEKDAY(CO4,2)=2,$CS$2,IF(WEEKDAY(CO4,2)=3,$CS$3,IF(WEEKDAY(CO4,2)=4,$CS$4,IF(WEEKDAY(CO4,2)=5,$CS$5,IF(WEEKDAY(CO4,2)=6,$CS$6,IF(WEEKDAY(CO4,2)=7,$CS$7,"ERRO")))))))</f>
        <v>Quinta-Feira</v>
      </c>
      <c r="CP5" s="58"/>
      <c r="CQ5" s="59"/>
      <c r="CR5" s="10">
        <v>5</v>
      </c>
      <c r="CS5" s="11" t="s">
        <v>56</v>
      </c>
      <c r="CT5" s="12">
        <v>5</v>
      </c>
      <c r="CU5" s="11" t="s">
        <v>62</v>
      </c>
    </row>
    <row r="6" spans="1:101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10">
        <v>6</v>
      </c>
      <c r="CS6" s="11" t="s">
        <v>57</v>
      </c>
      <c r="CT6" s="12">
        <v>6</v>
      </c>
      <c r="CU6" s="11" t="s">
        <v>64</v>
      </c>
    </row>
    <row r="7" spans="1:101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10">
        <v>7</v>
      </c>
      <c r="CS7" s="11" t="s">
        <v>58</v>
      </c>
      <c r="CT7" s="12">
        <v>7</v>
      </c>
      <c r="CU7" s="11" t="s">
        <v>65</v>
      </c>
    </row>
    <row r="8" spans="1:101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10"/>
      <c r="CT8" s="12">
        <v>8</v>
      </c>
      <c r="CU8" s="11" t="s">
        <v>66</v>
      </c>
    </row>
    <row r="9" spans="1:101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T9" s="12">
        <v>9</v>
      </c>
      <c r="CU9" s="11" t="s">
        <v>67</v>
      </c>
    </row>
    <row r="10" spans="1:101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T10" s="12">
        <v>10</v>
      </c>
      <c r="CU10" s="11" t="s">
        <v>68</v>
      </c>
    </row>
    <row r="11" spans="1:101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T11" s="12">
        <v>11</v>
      </c>
      <c r="CU11" s="11" t="s">
        <v>69</v>
      </c>
    </row>
    <row r="12" spans="1:101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T12" s="12">
        <v>12</v>
      </c>
      <c r="CU12" s="11" t="s">
        <v>70</v>
      </c>
    </row>
    <row r="13" spans="1:101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T13" s="12"/>
    </row>
    <row r="14" spans="1:101" ht="16.5" thickBot="1" x14ac:dyDescent="0.3">
      <c r="A14" s="13" t="str">
        <f>A7</f>
        <v>HPLC.0034</v>
      </c>
      <c r="B14" s="6" t="s">
        <v>71</v>
      </c>
      <c r="C14" s="18" t="e">
        <f ca="1">HLOOKUP(TODAY(),$F$4:$CQ$12,4,FALSE)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1" x14ac:dyDescent="0.25">
      <c r="B15" s="6" t="s">
        <v>72</v>
      </c>
      <c r="C15" s="18" t="e">
        <f ca="1">HLOOKUP(TODAY(),$F$4:$CQ$12,5,FALSE)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1" x14ac:dyDescent="0.25">
      <c r="A16" s="13" t="str">
        <f>A8</f>
        <v>HPLC.0035</v>
      </c>
      <c r="B16" s="6" t="s">
        <v>71</v>
      </c>
      <c r="C16" s="18" t="e">
        <f ca="1">HLOOKUP(TODAY(),$F$4:$CQ$12,6,FALSE)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HLOOKUP(TODAY(),$F$4:$CQ$12,7,FALSE)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HLOOKUP(TODAY(),$F$4:$CQ$12,8,FALSE)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HLOOKUP(TODAY(),$F$4:$CQ$12,9,FALSE)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HLOOKUP(TODAY(),$F$4:$CQ$12,10,FALSE)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HLOOKUP(TODAY(),$F$4:$CQ$12,11,FALSE)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HLOOKUP(TODAY(),$F$4:$CQ$12,12,FALSE)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HLOOKUP(TODAY(),$F$4:$CQ$12,13,FALSE)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HLOOKUP(TODAY(),$F$4:$CQ$12,14,FALSE)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HLOOKUP(TODAY(),$F$4:$CQ$12,15,FALSE)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6" si="141">COUNTIF($F$7:$CQ$7,$G36)</f>
        <v>0</v>
      </c>
      <c r="I36" s="18">
        <f t="shared" ref="I36:I46" si="142">COUNTIF($F$8:$CQ$8,$G36)</f>
        <v>0</v>
      </c>
      <c r="J36" s="18">
        <f t="shared" ref="J36:J46" si="143">COUNTIF($F$9:$CQ$9,$G36)</f>
        <v>0</v>
      </c>
      <c r="K36" s="18">
        <f t="shared" ref="K36:K46" si="144">COUNTIF($F$10:$CQ$10,$G36)</f>
        <v>0</v>
      </c>
      <c r="L36" s="18">
        <f t="shared" ref="L36:L46" si="145">COUNTIF($F$11:$CQ$11,$G36)</f>
        <v>0</v>
      </c>
      <c r="M36" s="18">
        <f t="shared" ref="M36:M46" si="146">COUNTIF($F$12:$CQ$12,$G36)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1"/>
        <v>0</v>
      </c>
      <c r="I37" s="18">
        <f t="shared" si="142"/>
        <v>0</v>
      </c>
      <c r="J37" s="18">
        <f t="shared" si="143"/>
        <v>0</v>
      </c>
      <c r="K37" s="18">
        <f t="shared" si="144"/>
        <v>0</v>
      </c>
      <c r="L37" s="18">
        <f t="shared" si="145"/>
        <v>0</v>
      </c>
      <c r="M37" s="18">
        <f t="shared" si="146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1"/>
        <v>0</v>
      </c>
      <c r="I38" s="18">
        <f t="shared" si="142"/>
        <v>0</v>
      </c>
      <c r="J38" s="18">
        <f t="shared" si="143"/>
        <v>0</v>
      </c>
      <c r="K38" s="18">
        <f t="shared" si="144"/>
        <v>0</v>
      </c>
      <c r="L38" s="18">
        <f t="shared" si="145"/>
        <v>0</v>
      </c>
      <c r="M38" s="18">
        <f t="shared" si="146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1"/>
        <v>0</v>
      </c>
      <c r="I39" s="18">
        <f t="shared" si="142"/>
        <v>0</v>
      </c>
      <c r="J39" s="18">
        <f t="shared" si="143"/>
        <v>0</v>
      </c>
      <c r="K39" s="18">
        <f t="shared" si="144"/>
        <v>0</v>
      </c>
      <c r="L39" s="18">
        <f t="shared" si="145"/>
        <v>0</v>
      </c>
      <c r="M39" s="18">
        <f t="shared" si="146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1"/>
        <v>0</v>
      </c>
      <c r="I40" s="18">
        <f t="shared" si="142"/>
        <v>0</v>
      </c>
      <c r="J40" s="18">
        <f t="shared" si="143"/>
        <v>0</v>
      </c>
      <c r="K40" s="18">
        <f t="shared" si="144"/>
        <v>0</v>
      </c>
      <c r="L40" s="18">
        <f t="shared" si="145"/>
        <v>0</v>
      </c>
      <c r="M40" s="18">
        <f t="shared" si="146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1"/>
        <v>0</v>
      </c>
      <c r="I41" s="18">
        <f t="shared" si="142"/>
        <v>0</v>
      </c>
      <c r="J41" s="18">
        <f t="shared" si="143"/>
        <v>0</v>
      </c>
      <c r="K41" s="18">
        <f t="shared" si="144"/>
        <v>0</v>
      </c>
      <c r="L41" s="18">
        <f t="shared" si="145"/>
        <v>0</v>
      </c>
      <c r="M41" s="18">
        <f t="shared" si="146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1"/>
        <v>0</v>
      </c>
      <c r="I42" s="18">
        <f t="shared" si="142"/>
        <v>0</v>
      </c>
      <c r="J42" s="18">
        <f t="shared" si="143"/>
        <v>0</v>
      </c>
      <c r="K42" s="18">
        <f t="shared" si="144"/>
        <v>0</v>
      </c>
      <c r="L42" s="18">
        <f t="shared" si="145"/>
        <v>0</v>
      </c>
      <c r="M42" s="18">
        <f t="shared" si="146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1"/>
        <v>0</v>
      </c>
      <c r="I43" s="18">
        <f t="shared" si="142"/>
        <v>0</v>
      </c>
      <c r="J43" s="18">
        <f t="shared" si="143"/>
        <v>0</v>
      </c>
      <c r="K43" s="18">
        <f t="shared" si="144"/>
        <v>0</v>
      </c>
      <c r="L43" s="18">
        <f t="shared" si="145"/>
        <v>0</v>
      </c>
      <c r="M43" s="18">
        <f t="shared" si="146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1"/>
        <v>0</v>
      </c>
      <c r="I44" s="18">
        <f t="shared" si="142"/>
        <v>0</v>
      </c>
      <c r="J44" s="18">
        <f t="shared" si="143"/>
        <v>0</v>
      </c>
      <c r="K44" s="18">
        <f t="shared" si="144"/>
        <v>0</v>
      </c>
      <c r="L44" s="18">
        <f t="shared" si="145"/>
        <v>0</v>
      </c>
      <c r="M44" s="18">
        <f t="shared" si="146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 t="shared" si="141"/>
        <v>0</v>
      </c>
      <c r="I45" s="18">
        <f t="shared" si="142"/>
        <v>0</v>
      </c>
      <c r="J45" s="18">
        <f t="shared" si="143"/>
        <v>0</v>
      </c>
      <c r="K45" s="18">
        <f t="shared" si="144"/>
        <v>0</v>
      </c>
      <c r="L45" s="18">
        <f t="shared" si="145"/>
        <v>0</v>
      </c>
      <c r="M45" s="18">
        <f t="shared" si="146"/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 t="shared" si="141"/>
        <v>0</v>
      </c>
      <c r="I46" s="18">
        <f t="shared" si="142"/>
        <v>0</v>
      </c>
      <c r="J46" s="18">
        <f t="shared" si="143"/>
        <v>0</v>
      </c>
      <c r="K46" s="18">
        <f t="shared" si="144"/>
        <v>0</v>
      </c>
      <c r="L46" s="18">
        <f t="shared" si="145"/>
        <v>0</v>
      </c>
      <c r="M46" s="18">
        <f t="shared" si="146"/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47">H35</f>
        <v>HPLC.0034</v>
      </c>
      <c r="I47" s="21" t="str">
        <f t="shared" si="147"/>
        <v>HPLC.0035</v>
      </c>
      <c r="J47" s="21" t="str">
        <f t="shared" si="147"/>
        <v>HPLC.0036</v>
      </c>
      <c r="K47" s="21" t="str">
        <f t="shared" si="147"/>
        <v>HPLC.0037</v>
      </c>
      <c r="L47" s="21" t="str">
        <f t="shared" si="147"/>
        <v>HPLC.0045</v>
      </c>
      <c r="M47" s="21" t="str">
        <f t="shared" si="147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48">SUM(H36:H37,H39:H44)</f>
        <v>0</v>
      </c>
      <c r="I48" s="24">
        <f t="shared" si="148"/>
        <v>0</v>
      </c>
      <c r="J48" s="24">
        <f t="shared" si="148"/>
        <v>0</v>
      </c>
      <c r="K48" s="24">
        <f t="shared" si="148"/>
        <v>0</v>
      </c>
      <c r="L48" s="24">
        <f t="shared" si="148"/>
        <v>0</v>
      </c>
      <c r="M48" s="24">
        <f t="shared" si="148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49">SUM(H38,H45:H46)</f>
        <v>0</v>
      </c>
      <c r="I49" s="24">
        <f t="shared" si="149"/>
        <v>0</v>
      </c>
      <c r="J49" s="24">
        <f t="shared" si="149"/>
        <v>0</v>
      </c>
      <c r="K49" s="24">
        <f t="shared" si="149"/>
        <v>0</v>
      </c>
      <c r="L49" s="24">
        <f t="shared" si="149"/>
        <v>0</v>
      </c>
      <c r="M49" s="24">
        <f t="shared" si="149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0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0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0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0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0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0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0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0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0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0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0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3">
    <mergeCell ref="CF5:CH5"/>
    <mergeCell ref="CI5:CK5"/>
    <mergeCell ref="CL5:CN5"/>
    <mergeCell ref="CO5:CQ5"/>
    <mergeCell ref="P14:AP14"/>
    <mergeCell ref="AR14:BD14"/>
    <mergeCell ref="BN5:BP5"/>
    <mergeCell ref="BQ5:BS5"/>
    <mergeCell ref="BT5:BV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AD5:AF5"/>
    <mergeCell ref="AG5:AI5"/>
    <mergeCell ref="AJ5:AL5"/>
    <mergeCell ref="AM5:AO5"/>
    <mergeCell ref="AP5:AR5"/>
    <mergeCell ref="AS5:AU5"/>
    <mergeCell ref="CO4:CQ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E4:BG4"/>
    <mergeCell ref="BH4:BJ4"/>
    <mergeCell ref="BK4:BM4"/>
    <mergeCell ref="BN4:BP4"/>
    <mergeCell ref="BQ4:BS4"/>
    <mergeCell ref="BT4:BV4"/>
    <mergeCell ref="BB4:BD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R4:T4"/>
    <mergeCell ref="A1:E1"/>
    <mergeCell ref="F4:H4"/>
    <mergeCell ref="I4:K4"/>
    <mergeCell ref="L4:N4"/>
    <mergeCell ref="O4:Q4"/>
  </mergeCells>
  <conditionalFormatting sqref="F7:CQ12">
    <cfRule type="expression" dxfId="107" priority="1">
      <formula>IF(F$3="Domingo",TRUE,FALSE)</formula>
    </cfRule>
    <cfRule type="expression" dxfId="106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105" priority="3" operator="equal">
      <formula>#REF!</formula>
    </cfRule>
    <cfRule type="cellIs" dxfId="104" priority="4" operator="equal">
      <formula>$A$60</formula>
    </cfRule>
    <cfRule type="cellIs" dxfId="103" priority="5" operator="equal">
      <formula>$A$67</formula>
    </cfRule>
    <cfRule type="cellIs" dxfId="102" priority="6" operator="equal">
      <formula>$A$66</formula>
    </cfRule>
    <cfRule type="cellIs" dxfId="101" priority="7" operator="equal">
      <formula>$A$65</formula>
    </cfRule>
    <cfRule type="cellIs" dxfId="100" priority="8" operator="equal">
      <formula>$A$64</formula>
    </cfRule>
    <cfRule type="cellIs" dxfId="99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98" priority="10" operator="equal">
      <formula>$A$62</formula>
    </cfRule>
    <cfRule type="cellIs" dxfId="97" priority="11" operator="equal">
      <formula>$A$61</formula>
    </cfRule>
    <cfRule type="cellIs" dxfId="96" priority="12" operator="equal">
      <formula>$A$68</formula>
    </cfRule>
  </conditionalFormatting>
  <dataValidations count="2">
    <dataValidation type="list" allowBlank="1" showInputMessage="1" showErrorMessage="1" sqref="B7:B12">
      <formula1>$B$70:$B$79</formula1>
    </dataValidation>
    <dataValidation type="list" allowBlank="1" showInputMessage="1" showErrorMessage="1" sqref="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zoomScale="80" zoomScaleNormal="80" workbookViewId="0">
      <pane xSplit="5" ySplit="6" topLeftCell="F19" activePane="bottomRight" state="frozen"/>
      <selection activeCell="D53" sqref="D53"/>
      <selection pane="topRight" activeCell="D53" sqref="D53"/>
      <selection pane="bottomLeft" activeCell="D53" sqref="D53"/>
      <selection pane="bottomRight" activeCell="F4" sqref="F4:H4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Maio/2020 -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Sexta-Feira</v>
      </c>
      <c r="G3" s="18" t="str">
        <f>F5</f>
        <v>Sexta-Feira</v>
      </c>
      <c r="H3" s="18" t="str">
        <f>F5</f>
        <v>Sexta-Feira</v>
      </c>
      <c r="I3" s="18" t="str">
        <f>I5</f>
        <v>Sábado</v>
      </c>
      <c r="J3" s="6" t="str">
        <f>I5</f>
        <v>Sábado</v>
      </c>
      <c r="K3" s="6" t="str">
        <f>I5</f>
        <v>Sábado</v>
      </c>
      <c r="L3" s="6" t="str">
        <f t="shared" ref="L3" si="0">L5</f>
        <v>Domingo</v>
      </c>
      <c r="M3" s="6" t="str">
        <f t="shared" ref="M3" si="1">L5</f>
        <v>Domingo</v>
      </c>
      <c r="N3" s="6" t="str">
        <f t="shared" ref="N3" si="2">L5</f>
        <v>Domingo</v>
      </c>
      <c r="O3" s="6" t="str">
        <f t="shared" ref="O3" si="3">O5</f>
        <v>Segunda-Feira</v>
      </c>
      <c r="P3" s="6" t="str">
        <f t="shared" ref="P3" si="4">O5</f>
        <v>Segunda-Feira</v>
      </c>
      <c r="Q3" s="6" t="str">
        <f t="shared" ref="Q3" si="5">O5</f>
        <v>Segunda-Feira</v>
      </c>
      <c r="R3" s="6" t="str">
        <f t="shared" ref="R3" si="6">R5</f>
        <v>Terça-Feira</v>
      </c>
      <c r="S3" s="6" t="str">
        <f t="shared" ref="S3" si="7">R5</f>
        <v>Terça-Feira</v>
      </c>
      <c r="T3" s="6" t="str">
        <f t="shared" ref="T3" si="8">R5</f>
        <v>Terça-Feira</v>
      </c>
      <c r="U3" s="6" t="str">
        <f t="shared" ref="U3" si="9">U5</f>
        <v>Quarta-Feira</v>
      </c>
      <c r="V3" s="6" t="str">
        <f t="shared" ref="V3" si="10">U5</f>
        <v>Quarta-Feira</v>
      </c>
      <c r="W3" s="6" t="str">
        <f t="shared" ref="W3" si="11">U5</f>
        <v>Quarta-Feira</v>
      </c>
      <c r="X3" s="6" t="str">
        <f t="shared" ref="X3" si="12">X5</f>
        <v>Quinta-Feira</v>
      </c>
      <c r="Y3" s="6" t="str">
        <f t="shared" ref="Y3" si="13">X5</f>
        <v>Quinta-Feira</v>
      </c>
      <c r="Z3" s="6" t="str">
        <f t="shared" ref="Z3" si="14">X5</f>
        <v>Quinta-Feira</v>
      </c>
      <c r="AA3" s="6" t="str">
        <f t="shared" ref="AA3" si="15">AA5</f>
        <v>Sexta-Feira</v>
      </c>
      <c r="AB3" s="6" t="str">
        <f t="shared" ref="AB3" si="16">AA5</f>
        <v>Sexta-Feira</v>
      </c>
      <c r="AC3" s="6" t="str">
        <f t="shared" ref="AC3" si="17">AA5</f>
        <v>Sexta-Feira</v>
      </c>
      <c r="AD3" s="6" t="str">
        <f t="shared" ref="AD3" si="18">AD5</f>
        <v>Sábado</v>
      </c>
      <c r="AE3" s="6" t="str">
        <f t="shared" ref="AE3" si="19">AD5</f>
        <v>Sábado</v>
      </c>
      <c r="AF3" s="6" t="str">
        <f t="shared" ref="AF3" si="20">AD5</f>
        <v>Sábado</v>
      </c>
      <c r="AG3" s="6" t="str">
        <f t="shared" ref="AG3" si="21">AG5</f>
        <v>Domingo</v>
      </c>
      <c r="AH3" s="6" t="str">
        <f t="shared" ref="AH3" si="22">AG5</f>
        <v>Domingo</v>
      </c>
      <c r="AI3" s="6" t="str">
        <f t="shared" ref="AI3" si="23">AG5</f>
        <v>Domingo</v>
      </c>
      <c r="AJ3" s="6" t="str">
        <f t="shared" ref="AJ3" si="24">AJ5</f>
        <v>Segunda-Feira</v>
      </c>
      <c r="AK3" s="6" t="str">
        <f t="shared" ref="AK3" si="25">AJ5</f>
        <v>Segunda-Feira</v>
      </c>
      <c r="AL3" s="6" t="str">
        <f t="shared" ref="AL3" si="26">AJ5</f>
        <v>Segunda-Feira</v>
      </c>
      <c r="AM3" s="6" t="str">
        <f t="shared" ref="AM3" si="27">AM5</f>
        <v>Terça-Feira</v>
      </c>
      <c r="AN3" s="6" t="str">
        <f t="shared" ref="AN3" si="28">AM5</f>
        <v>Terça-Feira</v>
      </c>
      <c r="AO3" s="6" t="str">
        <f t="shared" ref="AO3" si="29">AM5</f>
        <v>Terça-Feira</v>
      </c>
      <c r="AP3" s="6" t="str">
        <f t="shared" ref="AP3" si="30">AP5</f>
        <v>Quarta-Feira</v>
      </c>
      <c r="AQ3" s="6" t="str">
        <f t="shared" ref="AQ3" si="31">AP5</f>
        <v>Quarta-Feira</v>
      </c>
      <c r="AR3" s="6" t="str">
        <f t="shared" ref="AR3" si="32">AP5</f>
        <v>Quarta-Feira</v>
      </c>
      <c r="AS3" s="6" t="str">
        <f t="shared" ref="AS3" si="33">AS5</f>
        <v>Quinta-Feira</v>
      </c>
      <c r="AT3" s="6" t="str">
        <f t="shared" ref="AT3" si="34">AS5</f>
        <v>Quinta-Feira</v>
      </c>
      <c r="AU3" s="6" t="str">
        <f t="shared" ref="AU3" si="35">AS5</f>
        <v>Quinta-Feira</v>
      </c>
      <c r="AV3" s="6" t="str">
        <f t="shared" ref="AV3" si="36">AV5</f>
        <v>Sexta-Feira</v>
      </c>
      <c r="AW3" s="6" t="str">
        <f t="shared" ref="AW3" si="37">AV5</f>
        <v>Sexta-Feira</v>
      </c>
      <c r="AX3" s="6" t="str">
        <f t="shared" ref="AX3" si="38">AV5</f>
        <v>Sexta-Feira</v>
      </c>
      <c r="AY3" s="6" t="str">
        <f t="shared" ref="AY3" si="39">AY5</f>
        <v>Sábado</v>
      </c>
      <c r="AZ3" s="6" t="str">
        <f t="shared" ref="AZ3" si="40">AY5</f>
        <v>Sábado</v>
      </c>
      <c r="BA3" s="6" t="str">
        <f t="shared" ref="BA3" si="41">AY5</f>
        <v>Sábado</v>
      </c>
      <c r="BB3" s="6" t="str">
        <f t="shared" ref="BB3" si="42">BB5</f>
        <v>Domingo</v>
      </c>
      <c r="BC3" s="6" t="str">
        <f t="shared" ref="BC3" si="43">BB5</f>
        <v>Domingo</v>
      </c>
      <c r="BD3" s="6" t="str">
        <f t="shared" ref="BD3" si="44">BB5</f>
        <v>Domingo</v>
      </c>
      <c r="BE3" s="6" t="str">
        <f t="shared" ref="BE3" si="45">BE5</f>
        <v>Segunda-Feira</v>
      </c>
      <c r="BF3" s="6" t="str">
        <f t="shared" ref="BF3" si="46">BE5</f>
        <v>Segunda-Feira</v>
      </c>
      <c r="BG3" s="6" t="str">
        <f t="shared" ref="BG3" si="47">BE5</f>
        <v>Segunda-Feira</v>
      </c>
      <c r="BH3" s="6" t="str">
        <f t="shared" ref="BH3" si="48">BH5</f>
        <v>Terça-Feira</v>
      </c>
      <c r="BI3" s="6" t="str">
        <f t="shared" ref="BI3" si="49">BH5</f>
        <v>Terça-Feira</v>
      </c>
      <c r="BJ3" s="6" t="str">
        <f t="shared" ref="BJ3" si="50">BH5</f>
        <v>Terça-Feira</v>
      </c>
      <c r="BK3" s="6" t="str">
        <f t="shared" ref="BK3" si="51">BK5</f>
        <v>Quarta-Feira</v>
      </c>
      <c r="BL3" s="6" t="str">
        <f t="shared" ref="BL3" si="52">BK5</f>
        <v>Quarta-Feira</v>
      </c>
      <c r="BM3" s="6" t="str">
        <f t="shared" ref="BM3" si="53">BK5</f>
        <v>Quarta-Feira</v>
      </c>
      <c r="BN3" s="6" t="str">
        <f t="shared" ref="BN3" si="54">BN5</f>
        <v>Quinta-Feira</v>
      </c>
      <c r="BO3" s="6" t="str">
        <f t="shared" ref="BO3" si="55">BN5</f>
        <v>Quinta-Feira</v>
      </c>
      <c r="BP3" s="6" t="str">
        <f t="shared" ref="BP3" si="56">BN5</f>
        <v>Quinta-Feira</v>
      </c>
      <c r="BQ3" s="6" t="str">
        <f t="shared" ref="BQ3" si="57">BQ5</f>
        <v>Sexta-Feira</v>
      </c>
      <c r="BR3" s="6" t="str">
        <f t="shared" ref="BR3" si="58">BQ5</f>
        <v>Sexta-Feira</v>
      </c>
      <c r="BS3" s="6" t="str">
        <f t="shared" ref="BS3" si="59">BQ5</f>
        <v>Sexta-Feira</v>
      </c>
      <c r="BT3" s="6" t="str">
        <f t="shared" ref="BT3" si="60">BT5</f>
        <v>Sábado</v>
      </c>
      <c r="BU3" s="6" t="str">
        <f t="shared" ref="BU3" si="61">BT5</f>
        <v>Sábado</v>
      </c>
      <c r="BV3" s="6" t="str">
        <f t="shared" ref="BV3" si="62">BT5</f>
        <v>Sábado</v>
      </c>
      <c r="BW3" s="6" t="str">
        <f t="shared" ref="BW3" si="63">BW5</f>
        <v>Domingo</v>
      </c>
      <c r="BX3" s="6" t="str">
        <f t="shared" ref="BX3" si="64">BW5</f>
        <v>Domingo</v>
      </c>
      <c r="BY3" s="6" t="str">
        <f t="shared" ref="BY3" si="65">BW5</f>
        <v>Domingo</v>
      </c>
      <c r="BZ3" s="6" t="str">
        <f t="shared" ref="BZ3" si="66">BZ5</f>
        <v>Segunda-Feira</v>
      </c>
      <c r="CA3" s="6" t="str">
        <f t="shared" ref="CA3" si="67">BZ5</f>
        <v>Segunda-Feira</v>
      </c>
      <c r="CB3" s="6" t="str">
        <f t="shared" ref="CB3" si="68">BZ5</f>
        <v>Segunda-Feira</v>
      </c>
      <c r="CC3" s="6" t="str">
        <f t="shared" ref="CC3" si="69">CC5</f>
        <v>Terça-Feira</v>
      </c>
      <c r="CD3" s="6" t="str">
        <f t="shared" ref="CD3" si="70">CC5</f>
        <v>Terça-Feira</v>
      </c>
      <c r="CE3" s="6" t="str">
        <f t="shared" ref="CE3" si="71">CC5</f>
        <v>Terça-Feira</v>
      </c>
      <c r="CF3" s="6" t="str">
        <f t="shared" ref="CF3" si="72">CF5</f>
        <v>Quarta-Feira</v>
      </c>
      <c r="CG3" s="6" t="str">
        <f t="shared" ref="CG3" si="73">CF5</f>
        <v>Quarta-Feira</v>
      </c>
      <c r="CH3" s="6" t="str">
        <f t="shared" ref="CH3" si="74">CF5</f>
        <v>Quarta-Feira</v>
      </c>
      <c r="CI3" s="6" t="str">
        <f t="shared" ref="CI3" si="75">CI5</f>
        <v>Quinta-Feira</v>
      </c>
      <c r="CJ3" s="6" t="str">
        <f t="shared" ref="CJ3" si="76">CI5</f>
        <v>Quinta-Feira</v>
      </c>
      <c r="CK3" s="6" t="str">
        <f t="shared" ref="CK3" si="77">CI5</f>
        <v>Quinta-Feira</v>
      </c>
      <c r="CL3" s="6" t="str">
        <f t="shared" ref="CL3" si="78">CL5</f>
        <v>Sexta-Feira</v>
      </c>
      <c r="CM3" s="6" t="str">
        <f t="shared" ref="CM3" si="79">CL5</f>
        <v>Sexta-Feira</v>
      </c>
      <c r="CN3" s="6" t="str">
        <f t="shared" ref="CN3" si="80">CL5</f>
        <v>Sexta-Feira</v>
      </c>
      <c r="CO3" s="6" t="str">
        <f t="shared" ref="CO3" si="81">CO5</f>
        <v>Sábado</v>
      </c>
      <c r="CP3" s="6" t="str">
        <f t="shared" ref="CP3" si="82">CO5</f>
        <v>Sábado</v>
      </c>
      <c r="CQ3" s="6" t="str">
        <f t="shared" ref="CQ3" si="83">CO5</f>
        <v>Sábado</v>
      </c>
      <c r="CR3" s="6" t="str">
        <f t="shared" ref="CR3" si="84">CR5</f>
        <v>Domingo</v>
      </c>
      <c r="CS3" s="6" t="str">
        <f t="shared" ref="CS3" si="85">CR5</f>
        <v>Domingo</v>
      </c>
      <c r="CT3" s="6" t="str">
        <f t="shared" ref="CT3" si="86">CR5</f>
        <v>Domingo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43952</v>
      </c>
      <c r="G4" s="66"/>
      <c r="H4" s="67"/>
      <c r="I4" s="65">
        <f>F4+1</f>
        <v>43953</v>
      </c>
      <c r="J4" s="66"/>
      <c r="K4" s="67"/>
      <c r="L4" s="65">
        <f t="shared" ref="L4" si="87">I4+1</f>
        <v>43954</v>
      </c>
      <c r="M4" s="66"/>
      <c r="N4" s="67"/>
      <c r="O4" s="65">
        <f t="shared" ref="O4" si="88">L4+1</f>
        <v>43955</v>
      </c>
      <c r="P4" s="66"/>
      <c r="Q4" s="67"/>
      <c r="R4" s="65">
        <f t="shared" ref="R4" si="89">O4+1</f>
        <v>43956</v>
      </c>
      <c r="S4" s="66"/>
      <c r="T4" s="67"/>
      <c r="U4" s="65">
        <f t="shared" ref="U4" si="90">R4+1</f>
        <v>43957</v>
      </c>
      <c r="V4" s="66"/>
      <c r="W4" s="67"/>
      <c r="X4" s="65">
        <f t="shared" ref="X4" si="91">U4+1</f>
        <v>43958</v>
      </c>
      <c r="Y4" s="66"/>
      <c r="Z4" s="67"/>
      <c r="AA4" s="65">
        <f t="shared" ref="AA4" si="92">X4+1</f>
        <v>43959</v>
      </c>
      <c r="AB4" s="66"/>
      <c r="AC4" s="67"/>
      <c r="AD4" s="65">
        <f t="shared" ref="AD4" si="93">AA4+1</f>
        <v>43960</v>
      </c>
      <c r="AE4" s="66"/>
      <c r="AF4" s="67"/>
      <c r="AG4" s="65">
        <f t="shared" ref="AG4" si="94">AD4+1</f>
        <v>43961</v>
      </c>
      <c r="AH4" s="66"/>
      <c r="AI4" s="67"/>
      <c r="AJ4" s="65">
        <f t="shared" ref="AJ4" si="95">AG4+1</f>
        <v>43962</v>
      </c>
      <c r="AK4" s="66"/>
      <c r="AL4" s="67"/>
      <c r="AM4" s="65">
        <f t="shared" ref="AM4" si="96">AJ4+1</f>
        <v>43963</v>
      </c>
      <c r="AN4" s="66"/>
      <c r="AO4" s="67"/>
      <c r="AP4" s="65">
        <f t="shared" ref="AP4" si="97">AM4+1</f>
        <v>43964</v>
      </c>
      <c r="AQ4" s="66"/>
      <c r="AR4" s="67"/>
      <c r="AS4" s="65">
        <f t="shared" ref="AS4" si="98">AP4+1</f>
        <v>43965</v>
      </c>
      <c r="AT4" s="66"/>
      <c r="AU4" s="67"/>
      <c r="AV4" s="65">
        <f t="shared" ref="AV4" si="99">AS4+1</f>
        <v>43966</v>
      </c>
      <c r="AW4" s="66"/>
      <c r="AX4" s="67"/>
      <c r="AY4" s="65">
        <f t="shared" ref="AY4" si="100">AV4+1</f>
        <v>43967</v>
      </c>
      <c r="AZ4" s="66"/>
      <c r="BA4" s="67"/>
      <c r="BB4" s="65">
        <f t="shared" ref="BB4" si="101">AY4+1</f>
        <v>43968</v>
      </c>
      <c r="BC4" s="66"/>
      <c r="BD4" s="67"/>
      <c r="BE4" s="65">
        <f t="shared" ref="BE4" si="102">BB4+1</f>
        <v>43969</v>
      </c>
      <c r="BF4" s="66"/>
      <c r="BG4" s="67"/>
      <c r="BH4" s="65">
        <f t="shared" ref="BH4" si="103">BE4+1</f>
        <v>43970</v>
      </c>
      <c r="BI4" s="66"/>
      <c r="BJ4" s="67"/>
      <c r="BK4" s="65">
        <f t="shared" ref="BK4" si="104">BH4+1</f>
        <v>43971</v>
      </c>
      <c r="BL4" s="66"/>
      <c r="BM4" s="67"/>
      <c r="BN4" s="65">
        <f t="shared" ref="BN4" si="105">BK4+1</f>
        <v>43972</v>
      </c>
      <c r="BO4" s="66"/>
      <c r="BP4" s="67"/>
      <c r="BQ4" s="65">
        <f t="shared" ref="BQ4" si="106">BN4+1</f>
        <v>43973</v>
      </c>
      <c r="BR4" s="66"/>
      <c r="BS4" s="67"/>
      <c r="BT4" s="65">
        <f t="shared" ref="BT4" si="107">BQ4+1</f>
        <v>43974</v>
      </c>
      <c r="BU4" s="66"/>
      <c r="BV4" s="67"/>
      <c r="BW4" s="65">
        <f t="shared" ref="BW4" si="108">BT4+1</f>
        <v>43975</v>
      </c>
      <c r="BX4" s="66"/>
      <c r="BY4" s="67"/>
      <c r="BZ4" s="65">
        <f t="shared" ref="BZ4" si="109">BW4+1</f>
        <v>43976</v>
      </c>
      <c r="CA4" s="66"/>
      <c r="CB4" s="67"/>
      <c r="CC4" s="65">
        <f t="shared" ref="CC4" si="110">BZ4+1</f>
        <v>43977</v>
      </c>
      <c r="CD4" s="66"/>
      <c r="CE4" s="67"/>
      <c r="CF4" s="65">
        <f t="shared" ref="CF4" si="111">CC4+1</f>
        <v>43978</v>
      </c>
      <c r="CG4" s="66"/>
      <c r="CH4" s="67"/>
      <c r="CI4" s="65">
        <f t="shared" ref="CI4" si="112">CF4+1</f>
        <v>43979</v>
      </c>
      <c r="CJ4" s="66"/>
      <c r="CK4" s="67"/>
      <c r="CL4" s="65">
        <f t="shared" ref="CL4" si="113">CI4+1</f>
        <v>43980</v>
      </c>
      <c r="CM4" s="66"/>
      <c r="CN4" s="67"/>
      <c r="CO4" s="65">
        <f t="shared" ref="CO4" si="114">CL4+1</f>
        <v>43981</v>
      </c>
      <c r="CP4" s="66"/>
      <c r="CQ4" s="67"/>
      <c r="CR4" s="65">
        <f t="shared" ref="CR4" si="115">CO4+1</f>
        <v>43982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Sexta-Feira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Sábado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Domingo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Segunda-Feira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Terça-Feira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Quarta-Feira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Quinta-Feira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Sexta-Feira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Sábado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Domingo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Segunda-Feira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Terça-Feira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Quarta-Feira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Quinta-Feira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Sexta-Feira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Sábado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Domingo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Segunda-Feira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Terça-Feira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Quarta-Feira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Quinta-Feira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Sexta-Feira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Sábado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Domingo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Segunda-Feira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Terça-Feira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Quarta-Feira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Quinta-Feira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Sexta-Feira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Sábado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Domingo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e">
        <f ca="1">HLOOKUP(TODAY(),$F$4:$CT$12,4,FALSE)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e">
        <f ca="1">HLOOKUP(TODAY(),$F$4:$CT$12,5,FALSE)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e">
        <f ca="1">HLOOKUP(TODAY(),$F$4:$CT$12,6,FALSE)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HLOOKUP(TODAY(),$F$4:$CT$12,7,FALSE)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HLOOKUP(TODAY(),$F$4:$CT$12,8,FALSE)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HLOOKUP(TODAY(),$F$4:$CT$12,9,FALSE)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0</v>
      </c>
      <c r="I36" s="18">
        <f t="shared" ref="I36:I44" si="147">COUNTIF($F$8:$CT$8,$G36)</f>
        <v>0</v>
      </c>
      <c r="J36" s="18">
        <f t="shared" ref="J36:J44" si="148">COUNTIF($F$9:$CT$9,$G36)</f>
        <v>0</v>
      </c>
      <c r="K36" s="18">
        <f t="shared" ref="K36:K44" si="149">COUNTIF($F$10:$CT$10,$G36)</f>
        <v>0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0</v>
      </c>
      <c r="I37" s="18">
        <f t="shared" si="147"/>
        <v>0</v>
      </c>
      <c r="J37" s="18">
        <f t="shared" si="148"/>
        <v>0</v>
      </c>
      <c r="K37" s="18">
        <f t="shared" si="149"/>
        <v>0</v>
      </c>
      <c r="L37" s="18">
        <f t="shared" si="150"/>
        <v>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0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0</v>
      </c>
      <c r="I46" s="18">
        <f>COUNTIF($F$8:$CT$8,$G46)</f>
        <v>0</v>
      </c>
      <c r="J46" s="18">
        <f>COUNTIF($F$9:$CT$9,$G46)</f>
        <v>0</v>
      </c>
      <c r="K46" s="18">
        <f>COUNTIF($F$10:$CT$10,$G46)</f>
        <v>0</v>
      </c>
      <c r="L46" s="18">
        <f>COUNTIF($F$11:$CT$11,$G46)</f>
        <v>0</v>
      </c>
      <c r="M46" s="18">
        <f>COUNTIF($F$12:$CT$12,$G46)</f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0</v>
      </c>
      <c r="I48" s="24">
        <f t="shared" si="153"/>
        <v>0</v>
      </c>
      <c r="J48" s="24">
        <f t="shared" si="153"/>
        <v>0</v>
      </c>
      <c r="K48" s="24">
        <f t="shared" si="153"/>
        <v>0</v>
      </c>
      <c r="L48" s="24">
        <f t="shared" si="153"/>
        <v>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0</v>
      </c>
      <c r="I49" s="24">
        <f t="shared" si="154"/>
        <v>0</v>
      </c>
      <c r="J49" s="24">
        <f t="shared" si="154"/>
        <v>0</v>
      </c>
      <c r="K49" s="24">
        <f t="shared" si="154"/>
        <v>0</v>
      </c>
      <c r="L49" s="24">
        <f t="shared" si="154"/>
        <v>0</v>
      </c>
      <c r="M49" s="24">
        <f t="shared" si="15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CF5:CH5"/>
    <mergeCell ref="CI5:CK5"/>
    <mergeCell ref="CL5:CN5"/>
    <mergeCell ref="CO5:CQ5"/>
    <mergeCell ref="CR5:CT5"/>
    <mergeCell ref="P14:AP14"/>
    <mergeCell ref="AR14:BD14"/>
    <mergeCell ref="BN5:BP5"/>
    <mergeCell ref="BQ5:BS5"/>
    <mergeCell ref="BT5:BV5"/>
    <mergeCell ref="AD5:AF5"/>
    <mergeCell ref="AG5:AI5"/>
    <mergeCell ref="AJ5:AL5"/>
    <mergeCell ref="AM5:AO5"/>
    <mergeCell ref="AP5:AR5"/>
    <mergeCell ref="AS5:AU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CO4:CQ4"/>
    <mergeCell ref="CR4:CT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AJ4:AL4"/>
    <mergeCell ref="A1:E1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conditionalFormatting sqref="F7:CT12">
    <cfRule type="expression" dxfId="95" priority="1">
      <formula>IF(F$3="Domingo",TRUE,FALSE)</formula>
    </cfRule>
    <cfRule type="expression" dxfId="94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93" priority="3" operator="equal">
      <formula>#REF!</formula>
    </cfRule>
    <cfRule type="cellIs" dxfId="92" priority="4" operator="equal">
      <formula>$A$60</formula>
    </cfRule>
    <cfRule type="cellIs" dxfId="91" priority="5" operator="equal">
      <formula>$A$67</formula>
    </cfRule>
    <cfRule type="cellIs" dxfId="90" priority="6" operator="equal">
      <formula>$A$66</formula>
    </cfRule>
    <cfRule type="cellIs" dxfId="89" priority="7" operator="equal">
      <formula>$A$65</formula>
    </cfRule>
    <cfRule type="cellIs" dxfId="88" priority="8" operator="equal">
      <formula>$A$64</formula>
    </cfRule>
    <cfRule type="cellIs" dxfId="87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86" priority="10" operator="equal">
      <formula>$A$62</formula>
    </cfRule>
    <cfRule type="cellIs" dxfId="85" priority="11" operator="equal">
      <formula>$A$61</formula>
    </cfRule>
    <cfRule type="cellIs" dxfId="84" priority="12" operator="equal">
      <formula>$A$68</formula>
    </cfRule>
  </conditionalFormatting>
  <dataValidations count="2">
    <dataValidation type="list" allowBlank="1" showInputMessage="1" showErrorMessage="1" sqref="CR7:CR12 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  <dataValidation type="list" allowBlank="1" showInputMessage="1" showErrorMessage="1" sqref="B7:B12">
      <formula1>$B$70:$B$79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B90"/>
  <sheetViews>
    <sheetView zoomScale="80" zoomScaleNormal="80" workbookViewId="0">
      <pane xSplit="5" ySplit="6" topLeftCell="F22" activePane="bottomRight" state="frozen"/>
      <selection activeCell="D53" sqref="D53"/>
      <selection pane="topRight" activeCell="D53" sqref="D53"/>
      <selection pane="bottomLeft" activeCell="D53" sqref="D53"/>
      <selection pane="bottomRight" activeCell="J9" sqref="J9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5" width="16.5703125" style="6" customWidth="1"/>
    <col min="96" max="96" width="9.140625" style="11" hidden="1" customWidth="1"/>
    <col min="97" max="97" width="15.5703125" style="11" hidden="1" customWidth="1"/>
    <col min="98" max="99" width="9.140625" style="11" hidden="1" customWidth="1"/>
    <col min="100" max="100" width="10" style="11" customWidth="1"/>
    <col min="101" max="106" width="9.140625" style="11"/>
    <col min="107" max="16384" width="9.140625" style="6"/>
  </cols>
  <sheetData>
    <row r="1" spans="1:101" ht="21.75" thickBot="1" x14ac:dyDescent="0.3">
      <c r="A1" s="68" t="str">
        <f>"Calendário de uso HPLC -  "&amp;IF(MONTH(F4)=1,CU1,IF(MONTH(F4)=2,CU2,IF(MONTH(F4)=3,CU3,IF(MONTH(F4)=4,CU4,IF(MONTH(F4)=5,CU5,IF(MONTH(F4)=6,CU6,IF(MONTH(F4)=7,CU7,IF(MONTH(F4)=8,CU8,IF(MONTH(F4)=9,CU9,IF(MONTH(F4)=10,CU10,IF(MONTH(F4)=11,CU11,IF(MONTH(F4)=12,CU12,"NA")))))))))))) &amp; "/" &amp; YEAR(F4) &amp; " - Equipe MP"</f>
        <v>Calendário de uso HPLC -  Junho/2020 -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R1" s="10">
        <v>1</v>
      </c>
      <c r="CS1" s="11" t="s">
        <v>53</v>
      </c>
      <c r="CT1" s="12">
        <v>1</v>
      </c>
      <c r="CU1" s="11" t="s">
        <v>60</v>
      </c>
    </row>
    <row r="2" spans="1:101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R2" s="10">
        <v>2</v>
      </c>
      <c r="CS2" s="11" t="s">
        <v>75</v>
      </c>
      <c r="CT2" s="12">
        <v>2</v>
      </c>
      <c r="CU2" s="11" t="s">
        <v>76</v>
      </c>
    </row>
    <row r="3" spans="1:101" ht="15.75" hidden="1" thickBot="1" x14ac:dyDescent="0.3">
      <c r="F3" s="18" t="str">
        <f>F5</f>
        <v>Segunda-Feira</v>
      </c>
      <c r="G3" s="18" t="str">
        <f>F5</f>
        <v>Segunda-Feira</v>
      </c>
      <c r="H3" s="18" t="str">
        <f>F5</f>
        <v>Segunda-Feira</v>
      </c>
      <c r="I3" s="18" t="str">
        <f>I5</f>
        <v>Terça-Feira</v>
      </c>
      <c r="J3" s="6" t="str">
        <f>I5</f>
        <v>Terça-Feira</v>
      </c>
      <c r="K3" s="6" t="str">
        <f>I5</f>
        <v>Terça-Feira</v>
      </c>
      <c r="L3" s="6" t="str">
        <f t="shared" ref="L3" si="0">L5</f>
        <v>Quarta-Feira</v>
      </c>
      <c r="M3" s="6" t="str">
        <f t="shared" ref="M3" si="1">L5</f>
        <v>Quarta-Feira</v>
      </c>
      <c r="N3" s="6" t="str">
        <f t="shared" ref="N3" si="2">L5</f>
        <v>Quarta-Feira</v>
      </c>
      <c r="O3" s="6" t="str">
        <f t="shared" ref="O3" si="3">O5</f>
        <v>Quinta-Feira</v>
      </c>
      <c r="P3" s="6" t="str">
        <f t="shared" ref="P3" si="4">O5</f>
        <v>Quinta-Feira</v>
      </c>
      <c r="Q3" s="6" t="str">
        <f t="shared" ref="Q3" si="5">O5</f>
        <v>Quinta-Feira</v>
      </c>
      <c r="R3" s="6" t="str">
        <f t="shared" ref="R3" si="6">R5</f>
        <v>Sexta-Feira</v>
      </c>
      <c r="S3" s="6" t="str">
        <f t="shared" ref="S3" si="7">R5</f>
        <v>Sexta-Feira</v>
      </c>
      <c r="T3" s="6" t="str">
        <f t="shared" ref="T3" si="8">R5</f>
        <v>Sexta-Feira</v>
      </c>
      <c r="U3" s="6" t="str">
        <f t="shared" ref="U3" si="9">U5</f>
        <v>Sábado</v>
      </c>
      <c r="V3" s="6" t="str">
        <f t="shared" ref="V3" si="10">U5</f>
        <v>Sábado</v>
      </c>
      <c r="W3" s="6" t="str">
        <f t="shared" ref="W3" si="11">U5</f>
        <v>Sábado</v>
      </c>
      <c r="X3" s="6" t="str">
        <f t="shared" ref="X3" si="12">X5</f>
        <v>Domingo</v>
      </c>
      <c r="Y3" s="6" t="str">
        <f t="shared" ref="Y3" si="13">X5</f>
        <v>Domingo</v>
      </c>
      <c r="Z3" s="6" t="str">
        <f t="shared" ref="Z3" si="14">X5</f>
        <v>Domingo</v>
      </c>
      <c r="AA3" s="6" t="str">
        <f t="shared" ref="AA3" si="15">AA5</f>
        <v>Segunda-Feira</v>
      </c>
      <c r="AB3" s="6" t="str">
        <f t="shared" ref="AB3" si="16">AA5</f>
        <v>Segunda-Feira</v>
      </c>
      <c r="AC3" s="6" t="str">
        <f t="shared" ref="AC3" si="17">AA5</f>
        <v>Segunda-Feira</v>
      </c>
      <c r="AD3" s="6" t="str">
        <f t="shared" ref="AD3" si="18">AD5</f>
        <v>Terça-Feira</v>
      </c>
      <c r="AE3" s="6" t="str">
        <f t="shared" ref="AE3" si="19">AD5</f>
        <v>Terça-Feira</v>
      </c>
      <c r="AF3" s="6" t="str">
        <f t="shared" ref="AF3" si="20">AD5</f>
        <v>Terça-Feira</v>
      </c>
      <c r="AG3" s="6" t="str">
        <f t="shared" ref="AG3" si="21">AG5</f>
        <v>Quarta-Feira</v>
      </c>
      <c r="AH3" s="6" t="str">
        <f t="shared" ref="AH3" si="22">AG5</f>
        <v>Quarta-Feira</v>
      </c>
      <c r="AI3" s="6" t="str">
        <f t="shared" ref="AI3" si="23">AG5</f>
        <v>Quarta-Feira</v>
      </c>
      <c r="AJ3" s="6" t="str">
        <f t="shared" ref="AJ3" si="24">AJ5</f>
        <v>Quinta-Feira</v>
      </c>
      <c r="AK3" s="6" t="str">
        <f t="shared" ref="AK3" si="25">AJ5</f>
        <v>Quinta-Feira</v>
      </c>
      <c r="AL3" s="6" t="str">
        <f t="shared" ref="AL3" si="26">AJ5</f>
        <v>Quinta-Feira</v>
      </c>
      <c r="AM3" s="6" t="str">
        <f t="shared" ref="AM3" si="27">AM5</f>
        <v>Sexta-Feira</v>
      </c>
      <c r="AN3" s="6" t="str">
        <f t="shared" ref="AN3" si="28">AM5</f>
        <v>Sexta-Feira</v>
      </c>
      <c r="AO3" s="6" t="str">
        <f t="shared" ref="AO3" si="29">AM5</f>
        <v>Sexta-Feira</v>
      </c>
      <c r="AP3" s="6" t="str">
        <f t="shared" ref="AP3" si="30">AP5</f>
        <v>Sábado</v>
      </c>
      <c r="AQ3" s="6" t="str">
        <f t="shared" ref="AQ3" si="31">AP5</f>
        <v>Sábado</v>
      </c>
      <c r="AR3" s="6" t="str">
        <f t="shared" ref="AR3" si="32">AP5</f>
        <v>Sábado</v>
      </c>
      <c r="AS3" s="6" t="str">
        <f t="shared" ref="AS3" si="33">AS5</f>
        <v>Domingo</v>
      </c>
      <c r="AT3" s="6" t="str">
        <f t="shared" ref="AT3" si="34">AS5</f>
        <v>Domingo</v>
      </c>
      <c r="AU3" s="6" t="str">
        <f t="shared" ref="AU3" si="35">AS5</f>
        <v>Domingo</v>
      </c>
      <c r="AV3" s="6" t="str">
        <f t="shared" ref="AV3" si="36">AV5</f>
        <v>Segunda-Feira</v>
      </c>
      <c r="AW3" s="6" t="str">
        <f t="shared" ref="AW3" si="37">AV5</f>
        <v>Segunda-Feira</v>
      </c>
      <c r="AX3" s="6" t="str">
        <f t="shared" ref="AX3" si="38">AV5</f>
        <v>Segunda-Feira</v>
      </c>
      <c r="AY3" s="6" t="str">
        <f t="shared" ref="AY3" si="39">AY5</f>
        <v>Terça-Feira</v>
      </c>
      <c r="AZ3" s="6" t="str">
        <f t="shared" ref="AZ3" si="40">AY5</f>
        <v>Terça-Feira</v>
      </c>
      <c r="BA3" s="6" t="str">
        <f t="shared" ref="BA3" si="41">AY5</f>
        <v>Terça-Feira</v>
      </c>
      <c r="BB3" s="6" t="str">
        <f t="shared" ref="BB3" si="42">BB5</f>
        <v>Quarta-Feira</v>
      </c>
      <c r="BC3" s="6" t="str">
        <f t="shared" ref="BC3" si="43">BB5</f>
        <v>Quarta-Feira</v>
      </c>
      <c r="BD3" s="6" t="str">
        <f t="shared" ref="BD3" si="44">BB5</f>
        <v>Quarta-Feira</v>
      </c>
      <c r="BE3" s="6" t="str">
        <f t="shared" ref="BE3" si="45">BE5</f>
        <v>Quinta-Feira</v>
      </c>
      <c r="BF3" s="6" t="str">
        <f t="shared" ref="BF3" si="46">BE5</f>
        <v>Quinta-Feira</v>
      </c>
      <c r="BG3" s="6" t="str">
        <f t="shared" ref="BG3" si="47">BE5</f>
        <v>Quinta-Feira</v>
      </c>
      <c r="BH3" s="6" t="str">
        <f t="shared" ref="BH3" si="48">BH5</f>
        <v>Sexta-Feira</v>
      </c>
      <c r="BI3" s="6" t="str">
        <f t="shared" ref="BI3" si="49">BH5</f>
        <v>Sexta-Feira</v>
      </c>
      <c r="BJ3" s="6" t="str">
        <f t="shared" ref="BJ3" si="50">BH5</f>
        <v>Sexta-Feira</v>
      </c>
      <c r="BK3" s="6" t="str">
        <f t="shared" ref="BK3" si="51">BK5</f>
        <v>Sábado</v>
      </c>
      <c r="BL3" s="6" t="str">
        <f t="shared" ref="BL3" si="52">BK5</f>
        <v>Sábado</v>
      </c>
      <c r="BM3" s="6" t="str">
        <f t="shared" ref="BM3" si="53">BK5</f>
        <v>Sábado</v>
      </c>
      <c r="BN3" s="6" t="str">
        <f t="shared" ref="BN3" si="54">BN5</f>
        <v>Domingo</v>
      </c>
      <c r="BO3" s="6" t="str">
        <f t="shared" ref="BO3" si="55">BN5</f>
        <v>Domingo</v>
      </c>
      <c r="BP3" s="6" t="str">
        <f t="shared" ref="BP3" si="56">BN5</f>
        <v>Domingo</v>
      </c>
      <c r="BQ3" s="6" t="str">
        <f t="shared" ref="BQ3" si="57">BQ5</f>
        <v>Segunda-Feira</v>
      </c>
      <c r="BR3" s="6" t="str">
        <f t="shared" ref="BR3" si="58">BQ5</f>
        <v>Segunda-Feira</v>
      </c>
      <c r="BS3" s="6" t="str">
        <f t="shared" ref="BS3" si="59">BQ5</f>
        <v>Segunda-Feira</v>
      </c>
      <c r="BT3" s="6" t="str">
        <f t="shared" ref="BT3" si="60">BT5</f>
        <v>Terça-Feira</v>
      </c>
      <c r="BU3" s="6" t="str">
        <f t="shared" ref="BU3" si="61">BT5</f>
        <v>Terça-Feira</v>
      </c>
      <c r="BV3" s="6" t="str">
        <f t="shared" ref="BV3" si="62">BT5</f>
        <v>Terça-Feira</v>
      </c>
      <c r="BW3" s="6" t="str">
        <f t="shared" ref="BW3" si="63">BW5</f>
        <v>Quarta-Feira</v>
      </c>
      <c r="BX3" s="6" t="str">
        <f t="shared" ref="BX3" si="64">BW5</f>
        <v>Quarta-Feira</v>
      </c>
      <c r="BY3" s="6" t="str">
        <f t="shared" ref="BY3" si="65">BW5</f>
        <v>Quarta-Feira</v>
      </c>
      <c r="BZ3" s="6" t="str">
        <f t="shared" ref="BZ3" si="66">BZ5</f>
        <v>Quinta-Feira</v>
      </c>
      <c r="CA3" s="6" t="str">
        <f t="shared" ref="CA3" si="67">BZ5</f>
        <v>Quinta-Feira</v>
      </c>
      <c r="CB3" s="6" t="str">
        <f t="shared" ref="CB3" si="68">BZ5</f>
        <v>Quinta-Feira</v>
      </c>
      <c r="CC3" s="6" t="str">
        <f t="shared" ref="CC3" si="69">CC5</f>
        <v>Sexta-Feira</v>
      </c>
      <c r="CD3" s="6" t="str">
        <f t="shared" ref="CD3" si="70">CC5</f>
        <v>Sexta-Feira</v>
      </c>
      <c r="CE3" s="6" t="str">
        <f t="shared" ref="CE3" si="71">CC5</f>
        <v>Sexta-Feira</v>
      </c>
      <c r="CF3" s="6" t="str">
        <f t="shared" ref="CF3" si="72">CF5</f>
        <v>Sábado</v>
      </c>
      <c r="CG3" s="6" t="str">
        <f t="shared" ref="CG3" si="73">CF5</f>
        <v>Sábado</v>
      </c>
      <c r="CH3" s="6" t="str">
        <f t="shared" ref="CH3" si="74">CF5</f>
        <v>Sábado</v>
      </c>
      <c r="CI3" s="6" t="str">
        <f t="shared" ref="CI3" si="75">CI5</f>
        <v>Domingo</v>
      </c>
      <c r="CJ3" s="6" t="str">
        <f t="shared" ref="CJ3" si="76">CI5</f>
        <v>Domingo</v>
      </c>
      <c r="CK3" s="6" t="str">
        <f t="shared" ref="CK3" si="77">CI5</f>
        <v>Domingo</v>
      </c>
      <c r="CL3" s="6" t="str">
        <f t="shared" ref="CL3" si="78">CL5</f>
        <v>Segunda-Feira</v>
      </c>
      <c r="CM3" s="6" t="str">
        <f t="shared" ref="CM3" si="79">CL5</f>
        <v>Segunda-Feira</v>
      </c>
      <c r="CN3" s="6" t="str">
        <f t="shared" ref="CN3" si="80">CL5</f>
        <v>Segunda-Feira</v>
      </c>
      <c r="CO3" s="6" t="str">
        <f t="shared" ref="CO3" si="81">CO5</f>
        <v>Terça-Feira</v>
      </c>
      <c r="CP3" s="6" t="str">
        <f t="shared" ref="CP3" si="82">CO5</f>
        <v>Terça-Feira</v>
      </c>
      <c r="CQ3" s="6" t="str">
        <f t="shared" ref="CQ3" si="83">CO5</f>
        <v>Terça-Feira</v>
      </c>
      <c r="CR3" s="10">
        <v>3</v>
      </c>
      <c r="CS3" s="11" t="s">
        <v>54</v>
      </c>
      <c r="CT3" s="12">
        <v>3</v>
      </c>
      <c r="CU3" s="11" t="s">
        <v>61</v>
      </c>
      <c r="CV3" s="6"/>
      <c r="CW3" s="6"/>
    </row>
    <row r="4" spans="1:101" x14ac:dyDescent="0.25">
      <c r="F4" s="65">
        <v>43983</v>
      </c>
      <c r="G4" s="66"/>
      <c r="H4" s="67"/>
      <c r="I4" s="65">
        <f>F4+1</f>
        <v>43984</v>
      </c>
      <c r="J4" s="66"/>
      <c r="K4" s="67"/>
      <c r="L4" s="65">
        <f t="shared" ref="L4" si="84">I4+1</f>
        <v>43985</v>
      </c>
      <c r="M4" s="66"/>
      <c r="N4" s="67"/>
      <c r="O4" s="65">
        <f t="shared" ref="O4" si="85">L4+1</f>
        <v>43986</v>
      </c>
      <c r="P4" s="66"/>
      <c r="Q4" s="67"/>
      <c r="R4" s="65">
        <f t="shared" ref="R4" si="86">O4+1</f>
        <v>43987</v>
      </c>
      <c r="S4" s="66"/>
      <c r="T4" s="67"/>
      <c r="U4" s="65">
        <f t="shared" ref="U4" si="87">R4+1</f>
        <v>43988</v>
      </c>
      <c r="V4" s="66"/>
      <c r="W4" s="67"/>
      <c r="X4" s="65">
        <f t="shared" ref="X4" si="88">U4+1</f>
        <v>43989</v>
      </c>
      <c r="Y4" s="66"/>
      <c r="Z4" s="67"/>
      <c r="AA4" s="65">
        <f t="shared" ref="AA4" si="89">X4+1</f>
        <v>43990</v>
      </c>
      <c r="AB4" s="66"/>
      <c r="AC4" s="67"/>
      <c r="AD4" s="65">
        <f t="shared" ref="AD4" si="90">AA4+1</f>
        <v>43991</v>
      </c>
      <c r="AE4" s="66"/>
      <c r="AF4" s="67"/>
      <c r="AG4" s="65">
        <f t="shared" ref="AG4" si="91">AD4+1</f>
        <v>43992</v>
      </c>
      <c r="AH4" s="66"/>
      <c r="AI4" s="67"/>
      <c r="AJ4" s="65">
        <f t="shared" ref="AJ4" si="92">AG4+1</f>
        <v>43993</v>
      </c>
      <c r="AK4" s="66"/>
      <c r="AL4" s="67"/>
      <c r="AM4" s="65">
        <f t="shared" ref="AM4" si="93">AJ4+1</f>
        <v>43994</v>
      </c>
      <c r="AN4" s="66"/>
      <c r="AO4" s="67"/>
      <c r="AP4" s="65">
        <f t="shared" ref="AP4" si="94">AM4+1</f>
        <v>43995</v>
      </c>
      <c r="AQ4" s="66"/>
      <c r="AR4" s="67"/>
      <c r="AS4" s="65">
        <f t="shared" ref="AS4" si="95">AP4+1</f>
        <v>43996</v>
      </c>
      <c r="AT4" s="66"/>
      <c r="AU4" s="67"/>
      <c r="AV4" s="65">
        <f t="shared" ref="AV4" si="96">AS4+1</f>
        <v>43997</v>
      </c>
      <c r="AW4" s="66"/>
      <c r="AX4" s="67"/>
      <c r="AY4" s="65">
        <f t="shared" ref="AY4" si="97">AV4+1</f>
        <v>43998</v>
      </c>
      <c r="AZ4" s="66"/>
      <c r="BA4" s="67"/>
      <c r="BB4" s="65">
        <f t="shared" ref="BB4" si="98">AY4+1</f>
        <v>43999</v>
      </c>
      <c r="BC4" s="66"/>
      <c r="BD4" s="67"/>
      <c r="BE4" s="65">
        <f t="shared" ref="BE4" si="99">BB4+1</f>
        <v>44000</v>
      </c>
      <c r="BF4" s="66"/>
      <c r="BG4" s="67"/>
      <c r="BH4" s="65">
        <f t="shared" ref="BH4" si="100">BE4+1</f>
        <v>44001</v>
      </c>
      <c r="BI4" s="66"/>
      <c r="BJ4" s="67"/>
      <c r="BK4" s="65">
        <f t="shared" ref="BK4" si="101">BH4+1</f>
        <v>44002</v>
      </c>
      <c r="BL4" s="66"/>
      <c r="BM4" s="67"/>
      <c r="BN4" s="65">
        <f t="shared" ref="BN4" si="102">BK4+1</f>
        <v>44003</v>
      </c>
      <c r="BO4" s="66"/>
      <c r="BP4" s="67"/>
      <c r="BQ4" s="65">
        <f t="shared" ref="BQ4" si="103">BN4+1</f>
        <v>44004</v>
      </c>
      <c r="BR4" s="66"/>
      <c r="BS4" s="67"/>
      <c r="BT4" s="65">
        <f t="shared" ref="BT4" si="104">BQ4+1</f>
        <v>44005</v>
      </c>
      <c r="BU4" s="66"/>
      <c r="BV4" s="67"/>
      <c r="BW4" s="65">
        <f t="shared" ref="BW4" si="105">BT4+1</f>
        <v>44006</v>
      </c>
      <c r="BX4" s="66"/>
      <c r="BY4" s="67"/>
      <c r="BZ4" s="65">
        <f t="shared" ref="BZ4" si="106">BW4+1</f>
        <v>44007</v>
      </c>
      <c r="CA4" s="66"/>
      <c r="CB4" s="67"/>
      <c r="CC4" s="65">
        <f t="shared" ref="CC4" si="107">BZ4+1</f>
        <v>44008</v>
      </c>
      <c r="CD4" s="66"/>
      <c r="CE4" s="67"/>
      <c r="CF4" s="65">
        <f t="shared" ref="CF4" si="108">CC4+1</f>
        <v>44009</v>
      </c>
      <c r="CG4" s="66"/>
      <c r="CH4" s="67"/>
      <c r="CI4" s="65">
        <f t="shared" ref="CI4" si="109">CF4+1</f>
        <v>44010</v>
      </c>
      <c r="CJ4" s="66"/>
      <c r="CK4" s="67"/>
      <c r="CL4" s="65">
        <f t="shared" ref="CL4" si="110">CI4+1</f>
        <v>44011</v>
      </c>
      <c r="CM4" s="66"/>
      <c r="CN4" s="67"/>
      <c r="CO4" s="65">
        <f t="shared" ref="CO4" si="111">CL4+1</f>
        <v>44012</v>
      </c>
      <c r="CP4" s="66"/>
      <c r="CQ4" s="67"/>
      <c r="CR4" s="10">
        <v>4</v>
      </c>
      <c r="CS4" s="11" t="s">
        <v>55</v>
      </c>
      <c r="CT4" s="12">
        <v>4</v>
      </c>
      <c r="CU4" s="11" t="s">
        <v>63</v>
      </c>
    </row>
    <row r="5" spans="1:101" ht="15.75" thickBot="1" x14ac:dyDescent="0.3">
      <c r="A5" s="13"/>
      <c r="F5" s="57" t="str">
        <f>IF(WEEKDAY(F4,2)=1,$CS$1,IF(WEEKDAY(F4,2)=2,$CS$2,IF(WEEKDAY(F4,2)=3,$CS$3,IF(WEEKDAY(F4,2)=4,$CS$4,IF(WEEKDAY(F4,2)=5,$CS$5,IF(WEEKDAY(F4,2)=6,$CS$6,IF(WEEKDAY(F4,2)=7,$CS$7,"ERRO")))))))</f>
        <v>Segunda-Feira</v>
      </c>
      <c r="G5" s="58"/>
      <c r="H5" s="59"/>
      <c r="I5" s="57" t="str">
        <f t="shared" ref="I5" si="112">IF(WEEKDAY(I4,2)=1,$CS$1,IF(WEEKDAY(I4,2)=2,$CS$2,IF(WEEKDAY(I4,2)=3,$CS$3,IF(WEEKDAY(I4,2)=4,$CS$4,IF(WEEKDAY(I4,2)=5,$CS$5,IF(WEEKDAY(I4,2)=6,$CS$6,IF(WEEKDAY(I4,2)=7,$CS$7,"ERRO")))))))</f>
        <v>Terça-Feira</v>
      </c>
      <c r="J5" s="58"/>
      <c r="K5" s="59"/>
      <c r="L5" s="57" t="str">
        <f t="shared" ref="L5" si="113">IF(WEEKDAY(L4,2)=1,$CS$1,IF(WEEKDAY(L4,2)=2,$CS$2,IF(WEEKDAY(L4,2)=3,$CS$3,IF(WEEKDAY(L4,2)=4,$CS$4,IF(WEEKDAY(L4,2)=5,$CS$5,IF(WEEKDAY(L4,2)=6,$CS$6,IF(WEEKDAY(L4,2)=7,$CS$7,"ERRO")))))))</f>
        <v>Quarta-Feira</v>
      </c>
      <c r="M5" s="58"/>
      <c r="N5" s="59"/>
      <c r="O5" s="57" t="str">
        <f t="shared" ref="O5" si="114">IF(WEEKDAY(O4,2)=1,$CS$1,IF(WEEKDAY(O4,2)=2,$CS$2,IF(WEEKDAY(O4,2)=3,$CS$3,IF(WEEKDAY(O4,2)=4,$CS$4,IF(WEEKDAY(O4,2)=5,$CS$5,IF(WEEKDAY(O4,2)=6,$CS$6,IF(WEEKDAY(O4,2)=7,$CS$7,"ERRO")))))))</f>
        <v>Quinta-Feira</v>
      </c>
      <c r="P5" s="58"/>
      <c r="Q5" s="59"/>
      <c r="R5" s="57" t="str">
        <f t="shared" ref="R5" si="115">IF(WEEKDAY(R4,2)=1,$CS$1,IF(WEEKDAY(R4,2)=2,$CS$2,IF(WEEKDAY(R4,2)=3,$CS$3,IF(WEEKDAY(R4,2)=4,$CS$4,IF(WEEKDAY(R4,2)=5,$CS$5,IF(WEEKDAY(R4,2)=6,$CS$6,IF(WEEKDAY(R4,2)=7,$CS$7,"ERRO")))))))</f>
        <v>Sexta-Feira</v>
      </c>
      <c r="S5" s="58"/>
      <c r="T5" s="59"/>
      <c r="U5" s="57" t="str">
        <f t="shared" ref="U5" si="116">IF(WEEKDAY(U4,2)=1,$CS$1,IF(WEEKDAY(U4,2)=2,$CS$2,IF(WEEKDAY(U4,2)=3,$CS$3,IF(WEEKDAY(U4,2)=4,$CS$4,IF(WEEKDAY(U4,2)=5,$CS$5,IF(WEEKDAY(U4,2)=6,$CS$6,IF(WEEKDAY(U4,2)=7,$CS$7,"ERRO")))))))</f>
        <v>Sábado</v>
      </c>
      <c r="V5" s="58"/>
      <c r="W5" s="59"/>
      <c r="X5" s="57" t="str">
        <f t="shared" ref="X5" si="117">IF(WEEKDAY(X4,2)=1,$CS$1,IF(WEEKDAY(X4,2)=2,$CS$2,IF(WEEKDAY(X4,2)=3,$CS$3,IF(WEEKDAY(X4,2)=4,$CS$4,IF(WEEKDAY(X4,2)=5,$CS$5,IF(WEEKDAY(X4,2)=6,$CS$6,IF(WEEKDAY(X4,2)=7,$CS$7,"ERRO")))))))</f>
        <v>Domingo</v>
      </c>
      <c r="Y5" s="58"/>
      <c r="Z5" s="59"/>
      <c r="AA5" s="57" t="str">
        <f t="shared" ref="AA5" si="118">IF(WEEKDAY(AA4,2)=1,$CS$1,IF(WEEKDAY(AA4,2)=2,$CS$2,IF(WEEKDAY(AA4,2)=3,$CS$3,IF(WEEKDAY(AA4,2)=4,$CS$4,IF(WEEKDAY(AA4,2)=5,$CS$5,IF(WEEKDAY(AA4,2)=6,$CS$6,IF(WEEKDAY(AA4,2)=7,$CS$7,"ERRO")))))))</f>
        <v>Segunda-Feira</v>
      </c>
      <c r="AB5" s="58"/>
      <c r="AC5" s="59"/>
      <c r="AD5" s="57" t="str">
        <f t="shared" ref="AD5" si="119">IF(WEEKDAY(AD4,2)=1,$CS$1,IF(WEEKDAY(AD4,2)=2,$CS$2,IF(WEEKDAY(AD4,2)=3,$CS$3,IF(WEEKDAY(AD4,2)=4,$CS$4,IF(WEEKDAY(AD4,2)=5,$CS$5,IF(WEEKDAY(AD4,2)=6,$CS$6,IF(WEEKDAY(AD4,2)=7,$CS$7,"ERRO")))))))</f>
        <v>Terça-Feira</v>
      </c>
      <c r="AE5" s="58"/>
      <c r="AF5" s="59"/>
      <c r="AG5" s="57" t="str">
        <f t="shared" ref="AG5" si="120">IF(WEEKDAY(AG4,2)=1,$CS$1,IF(WEEKDAY(AG4,2)=2,$CS$2,IF(WEEKDAY(AG4,2)=3,$CS$3,IF(WEEKDAY(AG4,2)=4,$CS$4,IF(WEEKDAY(AG4,2)=5,$CS$5,IF(WEEKDAY(AG4,2)=6,$CS$6,IF(WEEKDAY(AG4,2)=7,$CS$7,"ERRO")))))))</f>
        <v>Quarta-Feira</v>
      </c>
      <c r="AH5" s="58"/>
      <c r="AI5" s="59"/>
      <c r="AJ5" s="57" t="str">
        <f t="shared" ref="AJ5" si="121">IF(WEEKDAY(AJ4,2)=1,$CS$1,IF(WEEKDAY(AJ4,2)=2,$CS$2,IF(WEEKDAY(AJ4,2)=3,$CS$3,IF(WEEKDAY(AJ4,2)=4,$CS$4,IF(WEEKDAY(AJ4,2)=5,$CS$5,IF(WEEKDAY(AJ4,2)=6,$CS$6,IF(WEEKDAY(AJ4,2)=7,$CS$7,"ERRO")))))))</f>
        <v>Quinta-Feira</v>
      </c>
      <c r="AK5" s="58"/>
      <c r="AL5" s="59"/>
      <c r="AM5" s="57" t="str">
        <f t="shared" ref="AM5" si="122">IF(WEEKDAY(AM4,2)=1,$CS$1,IF(WEEKDAY(AM4,2)=2,$CS$2,IF(WEEKDAY(AM4,2)=3,$CS$3,IF(WEEKDAY(AM4,2)=4,$CS$4,IF(WEEKDAY(AM4,2)=5,$CS$5,IF(WEEKDAY(AM4,2)=6,$CS$6,IF(WEEKDAY(AM4,2)=7,$CS$7,"ERRO")))))))</f>
        <v>Sexta-Feira</v>
      </c>
      <c r="AN5" s="58"/>
      <c r="AO5" s="59"/>
      <c r="AP5" s="57" t="str">
        <f t="shared" ref="AP5" si="123">IF(WEEKDAY(AP4,2)=1,$CS$1,IF(WEEKDAY(AP4,2)=2,$CS$2,IF(WEEKDAY(AP4,2)=3,$CS$3,IF(WEEKDAY(AP4,2)=4,$CS$4,IF(WEEKDAY(AP4,2)=5,$CS$5,IF(WEEKDAY(AP4,2)=6,$CS$6,IF(WEEKDAY(AP4,2)=7,$CS$7,"ERRO")))))))</f>
        <v>Sábado</v>
      </c>
      <c r="AQ5" s="58"/>
      <c r="AR5" s="59"/>
      <c r="AS5" s="57" t="str">
        <f t="shared" ref="AS5" si="124">IF(WEEKDAY(AS4,2)=1,$CS$1,IF(WEEKDAY(AS4,2)=2,$CS$2,IF(WEEKDAY(AS4,2)=3,$CS$3,IF(WEEKDAY(AS4,2)=4,$CS$4,IF(WEEKDAY(AS4,2)=5,$CS$5,IF(WEEKDAY(AS4,2)=6,$CS$6,IF(WEEKDAY(AS4,2)=7,$CS$7,"ERRO")))))))</f>
        <v>Domingo</v>
      </c>
      <c r="AT5" s="58"/>
      <c r="AU5" s="59"/>
      <c r="AV5" s="57" t="str">
        <f t="shared" ref="AV5" si="125">IF(WEEKDAY(AV4,2)=1,$CS$1,IF(WEEKDAY(AV4,2)=2,$CS$2,IF(WEEKDAY(AV4,2)=3,$CS$3,IF(WEEKDAY(AV4,2)=4,$CS$4,IF(WEEKDAY(AV4,2)=5,$CS$5,IF(WEEKDAY(AV4,2)=6,$CS$6,IF(WEEKDAY(AV4,2)=7,$CS$7,"ERRO")))))))</f>
        <v>Segunda-Feira</v>
      </c>
      <c r="AW5" s="58"/>
      <c r="AX5" s="59"/>
      <c r="AY5" s="57" t="str">
        <f t="shared" ref="AY5" si="126">IF(WEEKDAY(AY4,2)=1,$CS$1,IF(WEEKDAY(AY4,2)=2,$CS$2,IF(WEEKDAY(AY4,2)=3,$CS$3,IF(WEEKDAY(AY4,2)=4,$CS$4,IF(WEEKDAY(AY4,2)=5,$CS$5,IF(WEEKDAY(AY4,2)=6,$CS$6,IF(WEEKDAY(AY4,2)=7,$CS$7,"ERRO")))))))</f>
        <v>Terça-Feira</v>
      </c>
      <c r="AZ5" s="58"/>
      <c r="BA5" s="59"/>
      <c r="BB5" s="57" t="str">
        <f t="shared" ref="BB5" si="127">IF(WEEKDAY(BB4,2)=1,$CS$1,IF(WEEKDAY(BB4,2)=2,$CS$2,IF(WEEKDAY(BB4,2)=3,$CS$3,IF(WEEKDAY(BB4,2)=4,$CS$4,IF(WEEKDAY(BB4,2)=5,$CS$5,IF(WEEKDAY(BB4,2)=6,$CS$6,IF(WEEKDAY(BB4,2)=7,$CS$7,"ERRO")))))))</f>
        <v>Quarta-Feira</v>
      </c>
      <c r="BC5" s="58"/>
      <c r="BD5" s="59"/>
      <c r="BE5" s="57" t="str">
        <f t="shared" ref="BE5" si="128">IF(WEEKDAY(BE4,2)=1,$CS$1,IF(WEEKDAY(BE4,2)=2,$CS$2,IF(WEEKDAY(BE4,2)=3,$CS$3,IF(WEEKDAY(BE4,2)=4,$CS$4,IF(WEEKDAY(BE4,2)=5,$CS$5,IF(WEEKDAY(BE4,2)=6,$CS$6,IF(WEEKDAY(BE4,2)=7,$CS$7,"ERRO")))))))</f>
        <v>Quinta-Feira</v>
      </c>
      <c r="BF5" s="58"/>
      <c r="BG5" s="59"/>
      <c r="BH5" s="57" t="str">
        <f t="shared" ref="BH5" si="129">IF(WEEKDAY(BH4,2)=1,$CS$1,IF(WEEKDAY(BH4,2)=2,$CS$2,IF(WEEKDAY(BH4,2)=3,$CS$3,IF(WEEKDAY(BH4,2)=4,$CS$4,IF(WEEKDAY(BH4,2)=5,$CS$5,IF(WEEKDAY(BH4,2)=6,$CS$6,IF(WEEKDAY(BH4,2)=7,$CS$7,"ERRO")))))))</f>
        <v>Sexta-Feira</v>
      </c>
      <c r="BI5" s="58"/>
      <c r="BJ5" s="59"/>
      <c r="BK5" s="57" t="str">
        <f t="shared" ref="BK5" si="130">IF(WEEKDAY(BK4,2)=1,$CS$1,IF(WEEKDAY(BK4,2)=2,$CS$2,IF(WEEKDAY(BK4,2)=3,$CS$3,IF(WEEKDAY(BK4,2)=4,$CS$4,IF(WEEKDAY(BK4,2)=5,$CS$5,IF(WEEKDAY(BK4,2)=6,$CS$6,IF(WEEKDAY(BK4,2)=7,$CS$7,"ERRO")))))))</f>
        <v>Sábado</v>
      </c>
      <c r="BL5" s="58"/>
      <c r="BM5" s="59"/>
      <c r="BN5" s="57" t="str">
        <f t="shared" ref="BN5" si="131">IF(WEEKDAY(BN4,2)=1,$CS$1,IF(WEEKDAY(BN4,2)=2,$CS$2,IF(WEEKDAY(BN4,2)=3,$CS$3,IF(WEEKDAY(BN4,2)=4,$CS$4,IF(WEEKDAY(BN4,2)=5,$CS$5,IF(WEEKDAY(BN4,2)=6,$CS$6,IF(WEEKDAY(BN4,2)=7,$CS$7,"ERRO")))))))</f>
        <v>Domingo</v>
      </c>
      <c r="BO5" s="58"/>
      <c r="BP5" s="59"/>
      <c r="BQ5" s="57" t="str">
        <f t="shared" ref="BQ5" si="132">IF(WEEKDAY(BQ4,2)=1,$CS$1,IF(WEEKDAY(BQ4,2)=2,$CS$2,IF(WEEKDAY(BQ4,2)=3,$CS$3,IF(WEEKDAY(BQ4,2)=4,$CS$4,IF(WEEKDAY(BQ4,2)=5,$CS$5,IF(WEEKDAY(BQ4,2)=6,$CS$6,IF(WEEKDAY(BQ4,2)=7,$CS$7,"ERRO")))))))</f>
        <v>Segunda-Feira</v>
      </c>
      <c r="BR5" s="58"/>
      <c r="BS5" s="59"/>
      <c r="BT5" s="57" t="str">
        <f t="shared" ref="BT5" si="133">IF(WEEKDAY(BT4,2)=1,$CS$1,IF(WEEKDAY(BT4,2)=2,$CS$2,IF(WEEKDAY(BT4,2)=3,$CS$3,IF(WEEKDAY(BT4,2)=4,$CS$4,IF(WEEKDAY(BT4,2)=5,$CS$5,IF(WEEKDAY(BT4,2)=6,$CS$6,IF(WEEKDAY(BT4,2)=7,$CS$7,"ERRO")))))))</f>
        <v>Terça-Feira</v>
      </c>
      <c r="BU5" s="58"/>
      <c r="BV5" s="59"/>
      <c r="BW5" s="57" t="str">
        <f t="shared" ref="BW5" si="134">IF(WEEKDAY(BW4,2)=1,$CS$1,IF(WEEKDAY(BW4,2)=2,$CS$2,IF(WEEKDAY(BW4,2)=3,$CS$3,IF(WEEKDAY(BW4,2)=4,$CS$4,IF(WEEKDAY(BW4,2)=5,$CS$5,IF(WEEKDAY(BW4,2)=6,$CS$6,IF(WEEKDAY(BW4,2)=7,$CS$7,"ERRO")))))))</f>
        <v>Quarta-Feira</v>
      </c>
      <c r="BX5" s="58"/>
      <c r="BY5" s="59"/>
      <c r="BZ5" s="57" t="str">
        <f t="shared" ref="BZ5" si="135">IF(WEEKDAY(BZ4,2)=1,$CS$1,IF(WEEKDAY(BZ4,2)=2,$CS$2,IF(WEEKDAY(BZ4,2)=3,$CS$3,IF(WEEKDAY(BZ4,2)=4,$CS$4,IF(WEEKDAY(BZ4,2)=5,$CS$5,IF(WEEKDAY(BZ4,2)=6,$CS$6,IF(WEEKDAY(BZ4,2)=7,$CS$7,"ERRO")))))))</f>
        <v>Quinta-Feira</v>
      </c>
      <c r="CA5" s="58"/>
      <c r="CB5" s="59"/>
      <c r="CC5" s="57" t="str">
        <f t="shared" ref="CC5" si="136">IF(WEEKDAY(CC4,2)=1,$CS$1,IF(WEEKDAY(CC4,2)=2,$CS$2,IF(WEEKDAY(CC4,2)=3,$CS$3,IF(WEEKDAY(CC4,2)=4,$CS$4,IF(WEEKDAY(CC4,2)=5,$CS$5,IF(WEEKDAY(CC4,2)=6,$CS$6,IF(WEEKDAY(CC4,2)=7,$CS$7,"ERRO")))))))</f>
        <v>Sexta-Feira</v>
      </c>
      <c r="CD5" s="58"/>
      <c r="CE5" s="59"/>
      <c r="CF5" s="57" t="str">
        <f t="shared" ref="CF5" si="137">IF(WEEKDAY(CF4,2)=1,$CS$1,IF(WEEKDAY(CF4,2)=2,$CS$2,IF(WEEKDAY(CF4,2)=3,$CS$3,IF(WEEKDAY(CF4,2)=4,$CS$4,IF(WEEKDAY(CF4,2)=5,$CS$5,IF(WEEKDAY(CF4,2)=6,$CS$6,IF(WEEKDAY(CF4,2)=7,$CS$7,"ERRO")))))))</f>
        <v>Sábado</v>
      </c>
      <c r="CG5" s="58"/>
      <c r="CH5" s="59"/>
      <c r="CI5" s="57" t="str">
        <f t="shared" ref="CI5" si="138">IF(WEEKDAY(CI4,2)=1,$CS$1,IF(WEEKDAY(CI4,2)=2,$CS$2,IF(WEEKDAY(CI4,2)=3,$CS$3,IF(WEEKDAY(CI4,2)=4,$CS$4,IF(WEEKDAY(CI4,2)=5,$CS$5,IF(WEEKDAY(CI4,2)=6,$CS$6,IF(WEEKDAY(CI4,2)=7,$CS$7,"ERRO")))))))</f>
        <v>Domingo</v>
      </c>
      <c r="CJ5" s="58"/>
      <c r="CK5" s="59"/>
      <c r="CL5" s="57" t="str">
        <f t="shared" ref="CL5" si="139">IF(WEEKDAY(CL4,2)=1,$CS$1,IF(WEEKDAY(CL4,2)=2,$CS$2,IF(WEEKDAY(CL4,2)=3,$CS$3,IF(WEEKDAY(CL4,2)=4,$CS$4,IF(WEEKDAY(CL4,2)=5,$CS$5,IF(WEEKDAY(CL4,2)=6,$CS$6,IF(WEEKDAY(CL4,2)=7,$CS$7,"ERRO")))))))</f>
        <v>Segunda-Feira</v>
      </c>
      <c r="CM5" s="58"/>
      <c r="CN5" s="59"/>
      <c r="CO5" s="57" t="str">
        <f t="shared" ref="CO5" si="140">IF(WEEKDAY(CO4,2)=1,$CS$1,IF(WEEKDAY(CO4,2)=2,$CS$2,IF(WEEKDAY(CO4,2)=3,$CS$3,IF(WEEKDAY(CO4,2)=4,$CS$4,IF(WEEKDAY(CO4,2)=5,$CS$5,IF(WEEKDAY(CO4,2)=6,$CS$6,IF(WEEKDAY(CO4,2)=7,$CS$7,"ERRO")))))))</f>
        <v>Terça-Feira</v>
      </c>
      <c r="CP5" s="58"/>
      <c r="CQ5" s="59"/>
      <c r="CR5" s="10">
        <v>5</v>
      </c>
      <c r="CS5" s="11" t="s">
        <v>56</v>
      </c>
      <c r="CT5" s="12">
        <v>5</v>
      </c>
      <c r="CU5" s="11" t="s">
        <v>62</v>
      </c>
    </row>
    <row r="6" spans="1:101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10">
        <v>6</v>
      </c>
      <c r="CS6" s="11" t="s">
        <v>57</v>
      </c>
      <c r="CT6" s="12">
        <v>6</v>
      </c>
      <c r="CU6" s="11" t="s">
        <v>64</v>
      </c>
    </row>
    <row r="7" spans="1:101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10">
        <v>7</v>
      </c>
      <c r="CS7" s="11" t="s">
        <v>58</v>
      </c>
      <c r="CT7" s="12">
        <v>7</v>
      </c>
      <c r="CU7" s="11" t="s">
        <v>65</v>
      </c>
    </row>
    <row r="8" spans="1:101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10"/>
      <c r="CT8" s="12">
        <v>8</v>
      </c>
      <c r="CU8" s="11" t="s">
        <v>66</v>
      </c>
    </row>
    <row r="9" spans="1:101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T9" s="12">
        <v>9</v>
      </c>
      <c r="CU9" s="11" t="s">
        <v>67</v>
      </c>
    </row>
    <row r="10" spans="1:101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T10" s="12">
        <v>10</v>
      </c>
      <c r="CU10" s="11" t="s">
        <v>68</v>
      </c>
    </row>
    <row r="11" spans="1:101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T11" s="12">
        <v>11</v>
      </c>
      <c r="CU11" s="11" t="s">
        <v>69</v>
      </c>
    </row>
    <row r="12" spans="1:101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T12" s="12">
        <v>12</v>
      </c>
      <c r="CU12" s="11" t="s">
        <v>70</v>
      </c>
    </row>
    <row r="13" spans="1:101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T13" s="12"/>
    </row>
    <row r="14" spans="1:101" ht="16.5" thickBot="1" x14ac:dyDescent="0.3">
      <c r="A14" s="13" t="str">
        <f>A7</f>
        <v>HPLC.0034</v>
      </c>
      <c r="B14" s="6" t="s">
        <v>71</v>
      </c>
      <c r="C14" s="18" t="e">
        <f ca="1">HLOOKUP(TODAY(),$F$4:$CQ$12,4,FALSE)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1" x14ac:dyDescent="0.25">
      <c r="B15" s="6" t="s">
        <v>72</v>
      </c>
      <c r="C15" s="18" t="e">
        <f ca="1">HLOOKUP(TODAY(),$F$4:$CQ$12,5,FALSE)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1" x14ac:dyDescent="0.25">
      <c r="A16" s="13" t="str">
        <f>A8</f>
        <v>HPLC.0035</v>
      </c>
      <c r="B16" s="6" t="s">
        <v>71</v>
      </c>
      <c r="C16" s="18" t="e">
        <f ca="1">HLOOKUP(TODAY(),$F$4:$CQ$12,6,FALSE)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HLOOKUP(TODAY(),$F$4:$CQ$12,7,FALSE)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HLOOKUP(TODAY(),$F$4:$CQ$12,8,FALSE)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HLOOKUP(TODAY(),$F$4:$CQ$12,9,FALSE)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HLOOKUP(TODAY(),$F$4:$CQ$12,10,FALSE)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HLOOKUP(TODAY(),$F$4:$CQ$12,11,FALSE)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HLOOKUP(TODAY(),$F$4:$CQ$12,12,FALSE)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HLOOKUP(TODAY(),$F$4:$CQ$12,13,FALSE)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HLOOKUP(TODAY(),$F$4:$CQ$12,14,FALSE)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HLOOKUP(TODAY(),$F$4:$CQ$12,15,FALSE)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6" si="141">COUNTIF($F$7:$CQ$7,$G36)</f>
        <v>0</v>
      </c>
      <c r="I36" s="18">
        <f t="shared" ref="I36:I46" si="142">COUNTIF($F$8:$CQ$8,$G36)</f>
        <v>0</v>
      </c>
      <c r="J36" s="18">
        <f t="shared" ref="J36:J46" si="143">COUNTIF($F$9:$CQ$9,$G36)</f>
        <v>0</v>
      </c>
      <c r="K36" s="18">
        <f t="shared" ref="K36:K46" si="144">COUNTIF($F$10:$CQ$10,$G36)</f>
        <v>0</v>
      </c>
      <c r="L36" s="18">
        <f t="shared" ref="L36:L46" si="145">COUNTIF($F$11:$CQ$11,$G36)</f>
        <v>0</v>
      </c>
      <c r="M36" s="18">
        <f t="shared" ref="M36:M46" si="146">COUNTIF($F$12:$CQ$12,$G36)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1"/>
        <v>0</v>
      </c>
      <c r="I37" s="18">
        <f t="shared" si="142"/>
        <v>0</v>
      </c>
      <c r="J37" s="18">
        <f t="shared" si="143"/>
        <v>0</v>
      </c>
      <c r="K37" s="18">
        <f t="shared" si="144"/>
        <v>0</v>
      </c>
      <c r="L37" s="18">
        <f t="shared" si="145"/>
        <v>0</v>
      </c>
      <c r="M37" s="18">
        <f t="shared" si="146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1"/>
        <v>0</v>
      </c>
      <c r="I38" s="18">
        <f t="shared" si="142"/>
        <v>0</v>
      </c>
      <c r="J38" s="18">
        <f t="shared" si="143"/>
        <v>0</v>
      </c>
      <c r="K38" s="18">
        <f t="shared" si="144"/>
        <v>0</v>
      </c>
      <c r="L38" s="18">
        <f t="shared" si="145"/>
        <v>0</v>
      </c>
      <c r="M38" s="18">
        <f t="shared" si="146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1"/>
        <v>0</v>
      </c>
      <c r="I39" s="18">
        <f t="shared" si="142"/>
        <v>0</v>
      </c>
      <c r="J39" s="18">
        <f t="shared" si="143"/>
        <v>0</v>
      </c>
      <c r="K39" s="18">
        <f t="shared" si="144"/>
        <v>0</v>
      </c>
      <c r="L39" s="18">
        <f t="shared" si="145"/>
        <v>0</v>
      </c>
      <c r="M39" s="18">
        <f t="shared" si="146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1"/>
        <v>0</v>
      </c>
      <c r="I40" s="18">
        <f t="shared" si="142"/>
        <v>0</v>
      </c>
      <c r="J40" s="18">
        <f t="shared" si="143"/>
        <v>0</v>
      </c>
      <c r="K40" s="18">
        <f t="shared" si="144"/>
        <v>0</v>
      </c>
      <c r="L40" s="18">
        <f t="shared" si="145"/>
        <v>0</v>
      </c>
      <c r="M40" s="18">
        <f t="shared" si="146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1"/>
        <v>0</v>
      </c>
      <c r="I41" s="18">
        <f t="shared" si="142"/>
        <v>0</v>
      </c>
      <c r="J41" s="18">
        <f t="shared" si="143"/>
        <v>0</v>
      </c>
      <c r="K41" s="18">
        <f t="shared" si="144"/>
        <v>0</v>
      </c>
      <c r="L41" s="18">
        <f t="shared" si="145"/>
        <v>0</v>
      </c>
      <c r="M41" s="18">
        <f t="shared" si="146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1"/>
        <v>0</v>
      </c>
      <c r="I42" s="18">
        <f t="shared" si="142"/>
        <v>0</v>
      </c>
      <c r="J42" s="18">
        <f t="shared" si="143"/>
        <v>0</v>
      </c>
      <c r="K42" s="18">
        <f t="shared" si="144"/>
        <v>0</v>
      </c>
      <c r="L42" s="18">
        <f t="shared" si="145"/>
        <v>0</v>
      </c>
      <c r="M42" s="18">
        <f t="shared" si="146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1"/>
        <v>0</v>
      </c>
      <c r="I43" s="18">
        <f t="shared" si="142"/>
        <v>0</v>
      </c>
      <c r="J43" s="18">
        <f t="shared" si="143"/>
        <v>0</v>
      </c>
      <c r="K43" s="18">
        <f t="shared" si="144"/>
        <v>0</v>
      </c>
      <c r="L43" s="18">
        <f t="shared" si="145"/>
        <v>0</v>
      </c>
      <c r="M43" s="18">
        <f t="shared" si="146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1"/>
        <v>0</v>
      </c>
      <c r="I44" s="18">
        <f t="shared" si="142"/>
        <v>0</v>
      </c>
      <c r="J44" s="18">
        <f t="shared" si="143"/>
        <v>0</v>
      </c>
      <c r="K44" s="18">
        <f t="shared" si="144"/>
        <v>0</v>
      </c>
      <c r="L44" s="18">
        <f t="shared" si="145"/>
        <v>0</v>
      </c>
      <c r="M44" s="18">
        <f t="shared" si="146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 t="shared" si="141"/>
        <v>0</v>
      </c>
      <c r="I45" s="18">
        <f t="shared" si="142"/>
        <v>0</v>
      </c>
      <c r="J45" s="18">
        <f t="shared" si="143"/>
        <v>0</v>
      </c>
      <c r="K45" s="18">
        <f t="shared" si="144"/>
        <v>0</v>
      </c>
      <c r="L45" s="18">
        <f t="shared" si="145"/>
        <v>0</v>
      </c>
      <c r="M45" s="18">
        <f t="shared" si="146"/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 t="shared" si="141"/>
        <v>0</v>
      </c>
      <c r="I46" s="18">
        <f t="shared" si="142"/>
        <v>0</v>
      </c>
      <c r="J46" s="18">
        <f t="shared" si="143"/>
        <v>0</v>
      </c>
      <c r="K46" s="18">
        <f t="shared" si="144"/>
        <v>0</v>
      </c>
      <c r="L46" s="18">
        <f t="shared" si="145"/>
        <v>0</v>
      </c>
      <c r="M46" s="18">
        <f t="shared" si="146"/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47">H35</f>
        <v>HPLC.0034</v>
      </c>
      <c r="I47" s="21" t="str">
        <f t="shared" si="147"/>
        <v>HPLC.0035</v>
      </c>
      <c r="J47" s="21" t="str">
        <f t="shared" si="147"/>
        <v>HPLC.0036</v>
      </c>
      <c r="K47" s="21" t="str">
        <f t="shared" si="147"/>
        <v>HPLC.0037</v>
      </c>
      <c r="L47" s="21" t="str">
        <f t="shared" si="147"/>
        <v>HPLC.0045</v>
      </c>
      <c r="M47" s="21" t="str">
        <f t="shared" si="147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48">SUM(H36:H37,H39:H44)</f>
        <v>0</v>
      </c>
      <c r="I48" s="24">
        <f t="shared" si="148"/>
        <v>0</v>
      </c>
      <c r="J48" s="24">
        <f t="shared" si="148"/>
        <v>0</v>
      </c>
      <c r="K48" s="24">
        <f t="shared" si="148"/>
        <v>0</v>
      </c>
      <c r="L48" s="24">
        <f t="shared" si="148"/>
        <v>0</v>
      </c>
      <c r="M48" s="24">
        <f t="shared" si="148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49">SUM(H38,H45:H46)</f>
        <v>0</v>
      </c>
      <c r="I49" s="24">
        <f t="shared" si="149"/>
        <v>0</v>
      </c>
      <c r="J49" s="24">
        <f t="shared" si="149"/>
        <v>0</v>
      </c>
      <c r="K49" s="24">
        <f t="shared" si="149"/>
        <v>0</v>
      </c>
      <c r="L49" s="24">
        <f t="shared" si="149"/>
        <v>0</v>
      </c>
      <c r="M49" s="24">
        <f t="shared" si="149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0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0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0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0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0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0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0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0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0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0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0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3">
    <mergeCell ref="CF5:CH5"/>
    <mergeCell ref="CI5:CK5"/>
    <mergeCell ref="CL5:CN5"/>
    <mergeCell ref="CO5:CQ5"/>
    <mergeCell ref="P14:AP14"/>
    <mergeCell ref="AR14:BD14"/>
    <mergeCell ref="BN5:BP5"/>
    <mergeCell ref="BQ5:BS5"/>
    <mergeCell ref="BT5:BV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AD5:AF5"/>
    <mergeCell ref="AG5:AI5"/>
    <mergeCell ref="AJ5:AL5"/>
    <mergeCell ref="AM5:AO5"/>
    <mergeCell ref="AP5:AR5"/>
    <mergeCell ref="AS5:AU5"/>
    <mergeCell ref="CO4:CQ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E4:BG4"/>
    <mergeCell ref="BH4:BJ4"/>
    <mergeCell ref="BK4:BM4"/>
    <mergeCell ref="BN4:BP4"/>
    <mergeCell ref="BQ4:BS4"/>
    <mergeCell ref="BT4:BV4"/>
    <mergeCell ref="BB4:BD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R4:T4"/>
    <mergeCell ref="A1:E1"/>
    <mergeCell ref="F4:H4"/>
    <mergeCell ref="I4:K4"/>
    <mergeCell ref="L4:N4"/>
    <mergeCell ref="O4:Q4"/>
  </mergeCells>
  <conditionalFormatting sqref="F7:CQ12">
    <cfRule type="expression" dxfId="83" priority="1">
      <formula>IF(F$3="Domingo",TRUE,FALSE)</formula>
    </cfRule>
    <cfRule type="expression" dxfId="82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81" priority="3" operator="equal">
      <formula>#REF!</formula>
    </cfRule>
    <cfRule type="cellIs" dxfId="80" priority="4" operator="equal">
      <formula>$A$60</formula>
    </cfRule>
    <cfRule type="cellIs" dxfId="79" priority="5" operator="equal">
      <formula>$A$67</formula>
    </cfRule>
    <cfRule type="cellIs" dxfId="78" priority="6" operator="equal">
      <formula>$A$66</formula>
    </cfRule>
    <cfRule type="cellIs" dxfId="77" priority="7" operator="equal">
      <formula>$A$65</formula>
    </cfRule>
    <cfRule type="cellIs" dxfId="76" priority="8" operator="equal">
      <formula>$A$64</formula>
    </cfRule>
    <cfRule type="cellIs" dxfId="75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74" priority="10" operator="equal">
      <formula>$A$62</formula>
    </cfRule>
    <cfRule type="cellIs" dxfId="73" priority="11" operator="equal">
      <formula>$A$61</formula>
    </cfRule>
    <cfRule type="cellIs" dxfId="72" priority="12" operator="equal">
      <formula>$A$68</formula>
    </cfRule>
  </conditionalFormatting>
  <dataValidations count="2">
    <dataValidation type="list" allowBlank="1" showInputMessage="1" showErrorMessage="1" sqref="B7:B12">
      <formula1>$B$70:$B$79</formula1>
    </dataValidation>
    <dataValidation type="list" allowBlank="1" showInputMessage="1" showErrorMessage="1" sqref="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zoomScale="80" zoomScaleNormal="80" workbookViewId="0">
      <pane xSplit="5" ySplit="6" topLeftCell="F19" activePane="bottomRight" state="frozen"/>
      <selection activeCell="D53" sqref="D53"/>
      <selection pane="topRight" activeCell="D53" sqref="D53"/>
      <selection pane="bottomLeft" activeCell="D53" sqref="D53"/>
      <selection pane="bottomRight" activeCell="F5" sqref="F5:H5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Julho/2020 -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Quarta-Feira</v>
      </c>
      <c r="G3" s="18" t="str">
        <f>F5</f>
        <v>Quarta-Feira</v>
      </c>
      <c r="H3" s="18" t="str">
        <f>F5</f>
        <v>Quarta-Feira</v>
      </c>
      <c r="I3" s="18" t="str">
        <f>I5</f>
        <v>Quinta-Feira</v>
      </c>
      <c r="J3" s="6" t="str">
        <f>I5</f>
        <v>Quinta-Feira</v>
      </c>
      <c r="K3" s="6" t="str">
        <f>I5</f>
        <v>Quinta-Feira</v>
      </c>
      <c r="L3" s="6" t="str">
        <f t="shared" ref="L3" si="0">L5</f>
        <v>Sexta-Feira</v>
      </c>
      <c r="M3" s="6" t="str">
        <f t="shared" ref="M3" si="1">L5</f>
        <v>Sexta-Feira</v>
      </c>
      <c r="N3" s="6" t="str">
        <f t="shared" ref="N3" si="2">L5</f>
        <v>Sexta-Feira</v>
      </c>
      <c r="O3" s="6" t="str">
        <f t="shared" ref="O3" si="3">O5</f>
        <v>Sábado</v>
      </c>
      <c r="P3" s="6" t="str">
        <f t="shared" ref="P3" si="4">O5</f>
        <v>Sábado</v>
      </c>
      <c r="Q3" s="6" t="str">
        <f t="shared" ref="Q3" si="5">O5</f>
        <v>Sábado</v>
      </c>
      <c r="R3" s="6" t="str">
        <f t="shared" ref="R3" si="6">R5</f>
        <v>Domingo</v>
      </c>
      <c r="S3" s="6" t="str">
        <f t="shared" ref="S3" si="7">R5</f>
        <v>Domingo</v>
      </c>
      <c r="T3" s="6" t="str">
        <f t="shared" ref="T3" si="8">R5</f>
        <v>Domingo</v>
      </c>
      <c r="U3" s="6" t="str">
        <f t="shared" ref="U3" si="9">U5</f>
        <v>Segunda-Feira</v>
      </c>
      <c r="V3" s="6" t="str">
        <f t="shared" ref="V3" si="10">U5</f>
        <v>Segunda-Feira</v>
      </c>
      <c r="W3" s="6" t="str">
        <f t="shared" ref="W3" si="11">U5</f>
        <v>Segunda-Feira</v>
      </c>
      <c r="X3" s="6" t="str">
        <f t="shared" ref="X3" si="12">X5</f>
        <v>Terça-Feira</v>
      </c>
      <c r="Y3" s="6" t="str">
        <f t="shared" ref="Y3" si="13">X5</f>
        <v>Terça-Feira</v>
      </c>
      <c r="Z3" s="6" t="str">
        <f t="shared" ref="Z3" si="14">X5</f>
        <v>Terça-Feira</v>
      </c>
      <c r="AA3" s="6" t="str">
        <f t="shared" ref="AA3" si="15">AA5</f>
        <v>Quarta-Feira</v>
      </c>
      <c r="AB3" s="6" t="str">
        <f t="shared" ref="AB3" si="16">AA5</f>
        <v>Quarta-Feira</v>
      </c>
      <c r="AC3" s="6" t="str">
        <f t="shared" ref="AC3" si="17">AA5</f>
        <v>Quarta-Feira</v>
      </c>
      <c r="AD3" s="6" t="str">
        <f t="shared" ref="AD3" si="18">AD5</f>
        <v>Quinta-Feira</v>
      </c>
      <c r="AE3" s="6" t="str">
        <f t="shared" ref="AE3" si="19">AD5</f>
        <v>Quinta-Feira</v>
      </c>
      <c r="AF3" s="6" t="str">
        <f t="shared" ref="AF3" si="20">AD5</f>
        <v>Quinta-Feira</v>
      </c>
      <c r="AG3" s="6" t="str">
        <f t="shared" ref="AG3" si="21">AG5</f>
        <v>Sexta-Feira</v>
      </c>
      <c r="AH3" s="6" t="str">
        <f t="shared" ref="AH3" si="22">AG5</f>
        <v>Sexta-Feira</v>
      </c>
      <c r="AI3" s="6" t="str">
        <f t="shared" ref="AI3" si="23">AG5</f>
        <v>Sexta-Feira</v>
      </c>
      <c r="AJ3" s="6" t="str">
        <f t="shared" ref="AJ3" si="24">AJ5</f>
        <v>Sábado</v>
      </c>
      <c r="AK3" s="6" t="str">
        <f t="shared" ref="AK3" si="25">AJ5</f>
        <v>Sábado</v>
      </c>
      <c r="AL3" s="6" t="str">
        <f t="shared" ref="AL3" si="26">AJ5</f>
        <v>Sábado</v>
      </c>
      <c r="AM3" s="6" t="str">
        <f t="shared" ref="AM3" si="27">AM5</f>
        <v>Domingo</v>
      </c>
      <c r="AN3" s="6" t="str">
        <f t="shared" ref="AN3" si="28">AM5</f>
        <v>Domingo</v>
      </c>
      <c r="AO3" s="6" t="str">
        <f t="shared" ref="AO3" si="29">AM5</f>
        <v>Domingo</v>
      </c>
      <c r="AP3" s="6" t="str">
        <f t="shared" ref="AP3" si="30">AP5</f>
        <v>Segunda-Feira</v>
      </c>
      <c r="AQ3" s="6" t="str">
        <f t="shared" ref="AQ3" si="31">AP5</f>
        <v>Segunda-Feira</v>
      </c>
      <c r="AR3" s="6" t="str">
        <f t="shared" ref="AR3" si="32">AP5</f>
        <v>Segunda-Feira</v>
      </c>
      <c r="AS3" s="6" t="str">
        <f t="shared" ref="AS3" si="33">AS5</f>
        <v>Terça-Feira</v>
      </c>
      <c r="AT3" s="6" t="str">
        <f t="shared" ref="AT3" si="34">AS5</f>
        <v>Terça-Feira</v>
      </c>
      <c r="AU3" s="6" t="str">
        <f t="shared" ref="AU3" si="35">AS5</f>
        <v>Terça-Feira</v>
      </c>
      <c r="AV3" s="6" t="str">
        <f t="shared" ref="AV3" si="36">AV5</f>
        <v>Quarta-Feira</v>
      </c>
      <c r="AW3" s="6" t="str">
        <f t="shared" ref="AW3" si="37">AV5</f>
        <v>Quarta-Feira</v>
      </c>
      <c r="AX3" s="6" t="str">
        <f t="shared" ref="AX3" si="38">AV5</f>
        <v>Quarta-Feira</v>
      </c>
      <c r="AY3" s="6" t="str">
        <f t="shared" ref="AY3" si="39">AY5</f>
        <v>Quinta-Feira</v>
      </c>
      <c r="AZ3" s="6" t="str">
        <f t="shared" ref="AZ3" si="40">AY5</f>
        <v>Quinta-Feira</v>
      </c>
      <c r="BA3" s="6" t="str">
        <f t="shared" ref="BA3" si="41">AY5</f>
        <v>Quinta-Feira</v>
      </c>
      <c r="BB3" s="6" t="str">
        <f t="shared" ref="BB3" si="42">BB5</f>
        <v>Sexta-Feira</v>
      </c>
      <c r="BC3" s="6" t="str">
        <f t="shared" ref="BC3" si="43">BB5</f>
        <v>Sexta-Feira</v>
      </c>
      <c r="BD3" s="6" t="str">
        <f t="shared" ref="BD3" si="44">BB5</f>
        <v>Sexta-Feira</v>
      </c>
      <c r="BE3" s="6" t="str">
        <f t="shared" ref="BE3" si="45">BE5</f>
        <v>Sábado</v>
      </c>
      <c r="BF3" s="6" t="str">
        <f t="shared" ref="BF3" si="46">BE5</f>
        <v>Sábado</v>
      </c>
      <c r="BG3" s="6" t="str">
        <f t="shared" ref="BG3" si="47">BE5</f>
        <v>Sábado</v>
      </c>
      <c r="BH3" s="6" t="str">
        <f t="shared" ref="BH3" si="48">BH5</f>
        <v>Domingo</v>
      </c>
      <c r="BI3" s="6" t="str">
        <f t="shared" ref="BI3" si="49">BH5</f>
        <v>Domingo</v>
      </c>
      <c r="BJ3" s="6" t="str">
        <f t="shared" ref="BJ3" si="50">BH5</f>
        <v>Domingo</v>
      </c>
      <c r="BK3" s="6" t="str">
        <f t="shared" ref="BK3" si="51">BK5</f>
        <v>Segunda-Feira</v>
      </c>
      <c r="BL3" s="6" t="str">
        <f t="shared" ref="BL3" si="52">BK5</f>
        <v>Segunda-Feira</v>
      </c>
      <c r="BM3" s="6" t="str">
        <f t="shared" ref="BM3" si="53">BK5</f>
        <v>Segunda-Feira</v>
      </c>
      <c r="BN3" s="6" t="str">
        <f t="shared" ref="BN3" si="54">BN5</f>
        <v>Terça-Feira</v>
      </c>
      <c r="BO3" s="6" t="str">
        <f t="shared" ref="BO3" si="55">BN5</f>
        <v>Terça-Feira</v>
      </c>
      <c r="BP3" s="6" t="str">
        <f t="shared" ref="BP3" si="56">BN5</f>
        <v>Terça-Feira</v>
      </c>
      <c r="BQ3" s="6" t="str">
        <f t="shared" ref="BQ3" si="57">BQ5</f>
        <v>Quarta-Feira</v>
      </c>
      <c r="BR3" s="6" t="str">
        <f t="shared" ref="BR3" si="58">BQ5</f>
        <v>Quarta-Feira</v>
      </c>
      <c r="BS3" s="6" t="str">
        <f t="shared" ref="BS3" si="59">BQ5</f>
        <v>Quarta-Feira</v>
      </c>
      <c r="BT3" s="6" t="str">
        <f t="shared" ref="BT3" si="60">BT5</f>
        <v>Quinta-Feira</v>
      </c>
      <c r="BU3" s="6" t="str">
        <f t="shared" ref="BU3" si="61">BT5</f>
        <v>Quinta-Feira</v>
      </c>
      <c r="BV3" s="6" t="str">
        <f t="shared" ref="BV3" si="62">BT5</f>
        <v>Quinta-Feira</v>
      </c>
      <c r="BW3" s="6" t="str">
        <f t="shared" ref="BW3" si="63">BW5</f>
        <v>Sexta-Feira</v>
      </c>
      <c r="BX3" s="6" t="str">
        <f t="shared" ref="BX3" si="64">BW5</f>
        <v>Sexta-Feira</v>
      </c>
      <c r="BY3" s="6" t="str">
        <f t="shared" ref="BY3" si="65">BW5</f>
        <v>Sexta-Feira</v>
      </c>
      <c r="BZ3" s="6" t="str">
        <f t="shared" ref="BZ3" si="66">BZ5</f>
        <v>Sábado</v>
      </c>
      <c r="CA3" s="6" t="str">
        <f t="shared" ref="CA3" si="67">BZ5</f>
        <v>Sábado</v>
      </c>
      <c r="CB3" s="6" t="str">
        <f t="shared" ref="CB3" si="68">BZ5</f>
        <v>Sábado</v>
      </c>
      <c r="CC3" s="6" t="str">
        <f t="shared" ref="CC3" si="69">CC5</f>
        <v>Domingo</v>
      </c>
      <c r="CD3" s="6" t="str">
        <f t="shared" ref="CD3" si="70">CC5</f>
        <v>Domingo</v>
      </c>
      <c r="CE3" s="6" t="str">
        <f t="shared" ref="CE3" si="71">CC5</f>
        <v>Domingo</v>
      </c>
      <c r="CF3" s="6" t="str">
        <f t="shared" ref="CF3" si="72">CF5</f>
        <v>Segunda-Feira</v>
      </c>
      <c r="CG3" s="6" t="str">
        <f t="shared" ref="CG3" si="73">CF5</f>
        <v>Segunda-Feira</v>
      </c>
      <c r="CH3" s="6" t="str">
        <f t="shared" ref="CH3" si="74">CF5</f>
        <v>Segunda-Feira</v>
      </c>
      <c r="CI3" s="6" t="str">
        <f t="shared" ref="CI3" si="75">CI5</f>
        <v>Terça-Feira</v>
      </c>
      <c r="CJ3" s="6" t="str">
        <f t="shared" ref="CJ3" si="76">CI5</f>
        <v>Terça-Feira</v>
      </c>
      <c r="CK3" s="6" t="str">
        <f t="shared" ref="CK3" si="77">CI5</f>
        <v>Terça-Feira</v>
      </c>
      <c r="CL3" s="6" t="str">
        <f t="shared" ref="CL3" si="78">CL5</f>
        <v>Quarta-Feira</v>
      </c>
      <c r="CM3" s="6" t="str">
        <f t="shared" ref="CM3" si="79">CL5</f>
        <v>Quarta-Feira</v>
      </c>
      <c r="CN3" s="6" t="str">
        <f t="shared" ref="CN3" si="80">CL5</f>
        <v>Quarta-Feira</v>
      </c>
      <c r="CO3" s="6" t="str">
        <f t="shared" ref="CO3" si="81">CO5</f>
        <v>Quinta-Feira</v>
      </c>
      <c r="CP3" s="6" t="str">
        <f t="shared" ref="CP3" si="82">CO5</f>
        <v>Quinta-Feira</v>
      </c>
      <c r="CQ3" s="6" t="str">
        <f t="shared" ref="CQ3" si="83">CO5</f>
        <v>Quinta-Feira</v>
      </c>
      <c r="CR3" s="6" t="str">
        <f t="shared" ref="CR3" si="84">CR5</f>
        <v>Sexta-Feira</v>
      </c>
      <c r="CS3" s="6" t="str">
        <f t="shared" ref="CS3" si="85">CR5</f>
        <v>Sexta-Feira</v>
      </c>
      <c r="CT3" s="6" t="str">
        <f t="shared" ref="CT3" si="86">CR5</f>
        <v>Sexta-Feira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44013</v>
      </c>
      <c r="G4" s="66"/>
      <c r="H4" s="67"/>
      <c r="I4" s="65">
        <f>F4+1</f>
        <v>44014</v>
      </c>
      <c r="J4" s="66"/>
      <c r="K4" s="67"/>
      <c r="L4" s="65">
        <f t="shared" ref="L4" si="87">I4+1</f>
        <v>44015</v>
      </c>
      <c r="M4" s="66"/>
      <c r="N4" s="67"/>
      <c r="O4" s="65">
        <f t="shared" ref="O4" si="88">L4+1</f>
        <v>44016</v>
      </c>
      <c r="P4" s="66"/>
      <c r="Q4" s="67"/>
      <c r="R4" s="65">
        <f t="shared" ref="R4" si="89">O4+1</f>
        <v>44017</v>
      </c>
      <c r="S4" s="66"/>
      <c r="T4" s="67"/>
      <c r="U4" s="65">
        <f t="shared" ref="U4" si="90">R4+1</f>
        <v>44018</v>
      </c>
      <c r="V4" s="66"/>
      <c r="W4" s="67"/>
      <c r="X4" s="65">
        <f t="shared" ref="X4" si="91">U4+1</f>
        <v>44019</v>
      </c>
      <c r="Y4" s="66"/>
      <c r="Z4" s="67"/>
      <c r="AA4" s="65">
        <f t="shared" ref="AA4" si="92">X4+1</f>
        <v>44020</v>
      </c>
      <c r="AB4" s="66"/>
      <c r="AC4" s="67"/>
      <c r="AD4" s="65">
        <f t="shared" ref="AD4" si="93">AA4+1</f>
        <v>44021</v>
      </c>
      <c r="AE4" s="66"/>
      <c r="AF4" s="67"/>
      <c r="AG4" s="65">
        <f t="shared" ref="AG4" si="94">AD4+1</f>
        <v>44022</v>
      </c>
      <c r="AH4" s="66"/>
      <c r="AI4" s="67"/>
      <c r="AJ4" s="65">
        <f t="shared" ref="AJ4" si="95">AG4+1</f>
        <v>44023</v>
      </c>
      <c r="AK4" s="66"/>
      <c r="AL4" s="67"/>
      <c r="AM4" s="65">
        <f t="shared" ref="AM4" si="96">AJ4+1</f>
        <v>44024</v>
      </c>
      <c r="AN4" s="66"/>
      <c r="AO4" s="67"/>
      <c r="AP4" s="65">
        <f t="shared" ref="AP4" si="97">AM4+1</f>
        <v>44025</v>
      </c>
      <c r="AQ4" s="66"/>
      <c r="AR4" s="67"/>
      <c r="AS4" s="65">
        <f t="shared" ref="AS4" si="98">AP4+1</f>
        <v>44026</v>
      </c>
      <c r="AT4" s="66"/>
      <c r="AU4" s="67"/>
      <c r="AV4" s="65">
        <f t="shared" ref="AV4" si="99">AS4+1</f>
        <v>44027</v>
      </c>
      <c r="AW4" s="66"/>
      <c r="AX4" s="67"/>
      <c r="AY4" s="65">
        <f t="shared" ref="AY4" si="100">AV4+1</f>
        <v>44028</v>
      </c>
      <c r="AZ4" s="66"/>
      <c r="BA4" s="67"/>
      <c r="BB4" s="65">
        <f t="shared" ref="BB4" si="101">AY4+1</f>
        <v>44029</v>
      </c>
      <c r="BC4" s="66"/>
      <c r="BD4" s="67"/>
      <c r="BE4" s="65">
        <f t="shared" ref="BE4" si="102">BB4+1</f>
        <v>44030</v>
      </c>
      <c r="BF4" s="66"/>
      <c r="BG4" s="67"/>
      <c r="BH4" s="65">
        <f t="shared" ref="BH4" si="103">BE4+1</f>
        <v>44031</v>
      </c>
      <c r="BI4" s="66"/>
      <c r="BJ4" s="67"/>
      <c r="BK4" s="65">
        <f t="shared" ref="BK4" si="104">BH4+1</f>
        <v>44032</v>
      </c>
      <c r="BL4" s="66"/>
      <c r="BM4" s="67"/>
      <c r="BN4" s="65">
        <f t="shared" ref="BN4" si="105">BK4+1</f>
        <v>44033</v>
      </c>
      <c r="BO4" s="66"/>
      <c r="BP4" s="67"/>
      <c r="BQ4" s="65">
        <f t="shared" ref="BQ4" si="106">BN4+1</f>
        <v>44034</v>
      </c>
      <c r="BR4" s="66"/>
      <c r="BS4" s="67"/>
      <c r="BT4" s="65">
        <f t="shared" ref="BT4" si="107">BQ4+1</f>
        <v>44035</v>
      </c>
      <c r="BU4" s="66"/>
      <c r="BV4" s="67"/>
      <c r="BW4" s="65">
        <f t="shared" ref="BW4" si="108">BT4+1</f>
        <v>44036</v>
      </c>
      <c r="BX4" s="66"/>
      <c r="BY4" s="67"/>
      <c r="BZ4" s="65">
        <f t="shared" ref="BZ4" si="109">BW4+1</f>
        <v>44037</v>
      </c>
      <c r="CA4" s="66"/>
      <c r="CB4" s="67"/>
      <c r="CC4" s="65">
        <f t="shared" ref="CC4" si="110">BZ4+1</f>
        <v>44038</v>
      </c>
      <c r="CD4" s="66"/>
      <c r="CE4" s="67"/>
      <c r="CF4" s="65">
        <f t="shared" ref="CF4" si="111">CC4+1</f>
        <v>44039</v>
      </c>
      <c r="CG4" s="66"/>
      <c r="CH4" s="67"/>
      <c r="CI4" s="65">
        <f t="shared" ref="CI4" si="112">CF4+1</f>
        <v>44040</v>
      </c>
      <c r="CJ4" s="66"/>
      <c r="CK4" s="67"/>
      <c r="CL4" s="65">
        <f t="shared" ref="CL4" si="113">CI4+1</f>
        <v>44041</v>
      </c>
      <c r="CM4" s="66"/>
      <c r="CN4" s="67"/>
      <c r="CO4" s="65">
        <f t="shared" ref="CO4" si="114">CL4+1</f>
        <v>44042</v>
      </c>
      <c r="CP4" s="66"/>
      <c r="CQ4" s="67"/>
      <c r="CR4" s="65">
        <f t="shared" ref="CR4" si="115">CO4+1</f>
        <v>44043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Quarta-Feira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Quinta-Feira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Sexta-Feira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Sábado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Domingo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Segunda-Feira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Terça-Feira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Quarta-Feira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Quinta-Feira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Sexta-Feira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Sábado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Domingo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Segunda-Feira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Terça-Feira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Quarta-Feira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Quinta-Feira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Sexta-Feira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Sábado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Domingo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Segunda-Feira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Terça-Feira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Quarta-Feira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Quinta-Feira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Sexta-Feira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Sábado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Domingo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Segunda-Feira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Terça-Feira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Quarta-Feira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Quinta-Feira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Sexta-Feira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e">
        <f ca="1">HLOOKUP(TODAY(),$F$4:$CT$12,4,FALSE)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e">
        <f ca="1">HLOOKUP(TODAY(),$F$4:$CT$12,5,FALSE)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e">
        <f ca="1">HLOOKUP(TODAY(),$F$4:$CT$12,6,FALSE)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HLOOKUP(TODAY(),$F$4:$CT$12,7,FALSE)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HLOOKUP(TODAY(),$F$4:$CT$12,8,FALSE)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HLOOKUP(TODAY(),$F$4:$CT$12,9,FALSE)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0</v>
      </c>
      <c r="I36" s="18">
        <f t="shared" ref="I36:I44" si="147">COUNTIF($F$8:$CT$8,$G36)</f>
        <v>0</v>
      </c>
      <c r="J36" s="18">
        <f t="shared" ref="J36:J44" si="148">COUNTIF($F$9:$CT$9,$G36)</f>
        <v>0</v>
      </c>
      <c r="K36" s="18">
        <f t="shared" ref="K36:K44" si="149">COUNTIF($F$10:$CT$10,$G36)</f>
        <v>0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0</v>
      </c>
      <c r="I37" s="18">
        <f t="shared" si="147"/>
        <v>0</v>
      </c>
      <c r="J37" s="18">
        <f t="shared" si="148"/>
        <v>0</v>
      </c>
      <c r="K37" s="18">
        <f t="shared" si="149"/>
        <v>0</v>
      </c>
      <c r="L37" s="18">
        <f t="shared" si="150"/>
        <v>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0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0</v>
      </c>
      <c r="I46" s="18">
        <f>COUNTIF($F$8:$CT$8,$G46)</f>
        <v>0</v>
      </c>
      <c r="J46" s="18">
        <f>COUNTIF($F$9:$CT$9,$G46)</f>
        <v>0</v>
      </c>
      <c r="K46" s="18">
        <f>COUNTIF($F$10:$CT$10,$G46)</f>
        <v>0</v>
      </c>
      <c r="L46" s="18">
        <f>COUNTIF($F$11:$CT$11,$G46)</f>
        <v>0</v>
      </c>
      <c r="M46" s="18">
        <f>COUNTIF($F$12:$CT$12,$G46)</f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0</v>
      </c>
      <c r="I48" s="24">
        <f t="shared" si="153"/>
        <v>0</v>
      </c>
      <c r="J48" s="24">
        <f t="shared" si="153"/>
        <v>0</v>
      </c>
      <c r="K48" s="24">
        <f t="shared" si="153"/>
        <v>0</v>
      </c>
      <c r="L48" s="24">
        <f t="shared" si="153"/>
        <v>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0</v>
      </c>
      <c r="I49" s="24">
        <f t="shared" si="154"/>
        <v>0</v>
      </c>
      <c r="J49" s="24">
        <f t="shared" si="154"/>
        <v>0</v>
      </c>
      <c r="K49" s="24">
        <f t="shared" si="154"/>
        <v>0</v>
      </c>
      <c r="L49" s="24">
        <f t="shared" si="154"/>
        <v>0</v>
      </c>
      <c r="M49" s="24">
        <f t="shared" si="15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CF5:CH5"/>
    <mergeCell ref="CI5:CK5"/>
    <mergeCell ref="CL5:CN5"/>
    <mergeCell ref="CO5:CQ5"/>
    <mergeCell ref="CR5:CT5"/>
    <mergeCell ref="P14:AP14"/>
    <mergeCell ref="AR14:BD14"/>
    <mergeCell ref="BN5:BP5"/>
    <mergeCell ref="BQ5:BS5"/>
    <mergeCell ref="BT5:BV5"/>
    <mergeCell ref="AD5:AF5"/>
    <mergeCell ref="AG5:AI5"/>
    <mergeCell ref="AJ5:AL5"/>
    <mergeCell ref="AM5:AO5"/>
    <mergeCell ref="AP5:AR5"/>
    <mergeCell ref="AS5:AU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CO4:CQ4"/>
    <mergeCell ref="CR4:CT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AJ4:AL4"/>
    <mergeCell ref="A1:E1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conditionalFormatting sqref="F7:CT12">
    <cfRule type="expression" dxfId="71" priority="1">
      <formula>IF(F$3="Domingo",TRUE,FALSE)</formula>
    </cfRule>
    <cfRule type="expression" dxfId="70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69" priority="3" operator="equal">
      <formula>#REF!</formula>
    </cfRule>
    <cfRule type="cellIs" dxfId="68" priority="4" operator="equal">
      <formula>$A$60</formula>
    </cfRule>
    <cfRule type="cellIs" dxfId="67" priority="5" operator="equal">
      <formula>$A$67</formula>
    </cfRule>
    <cfRule type="cellIs" dxfId="66" priority="6" operator="equal">
      <formula>$A$66</formula>
    </cfRule>
    <cfRule type="cellIs" dxfId="65" priority="7" operator="equal">
      <formula>$A$65</formula>
    </cfRule>
    <cfRule type="cellIs" dxfId="64" priority="8" operator="equal">
      <formula>$A$64</formula>
    </cfRule>
    <cfRule type="cellIs" dxfId="63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62" priority="10" operator="equal">
      <formula>$A$62</formula>
    </cfRule>
    <cfRule type="cellIs" dxfId="61" priority="11" operator="equal">
      <formula>$A$61</formula>
    </cfRule>
    <cfRule type="cellIs" dxfId="60" priority="12" operator="equal">
      <formula>$A$68</formula>
    </cfRule>
  </conditionalFormatting>
  <dataValidations count="2">
    <dataValidation type="list" allowBlank="1" showInputMessage="1" showErrorMessage="1" sqref="B7:B12">
      <formula1>$B$70:$B$79</formula1>
    </dataValidation>
    <dataValidation type="list" allowBlank="1" showInputMessage="1" showErrorMessage="1" sqref="CR7:CR12 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zoomScale="80" zoomScaleNormal="80" workbookViewId="0">
      <pane xSplit="5" ySplit="6" topLeftCell="F16" activePane="bottomRight" state="frozen"/>
      <selection activeCell="D53" sqref="D53"/>
      <selection pane="topRight" activeCell="D53" sqref="D53"/>
      <selection pane="bottomLeft" activeCell="D53" sqref="D53"/>
      <selection pane="bottomRight" activeCell="F5" sqref="F5:H5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Agosto/2020 -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Sábado</v>
      </c>
      <c r="G3" s="18" t="str">
        <f>F5</f>
        <v>Sábado</v>
      </c>
      <c r="H3" s="18" t="str">
        <f>F5</f>
        <v>Sábado</v>
      </c>
      <c r="I3" s="18" t="str">
        <f>I5</f>
        <v>Domingo</v>
      </c>
      <c r="J3" s="6" t="str">
        <f>I5</f>
        <v>Domingo</v>
      </c>
      <c r="K3" s="6" t="str">
        <f>I5</f>
        <v>Domingo</v>
      </c>
      <c r="L3" s="6" t="str">
        <f t="shared" ref="L3" si="0">L5</f>
        <v>Segunda-Feira</v>
      </c>
      <c r="M3" s="6" t="str">
        <f t="shared" ref="M3" si="1">L5</f>
        <v>Segunda-Feira</v>
      </c>
      <c r="N3" s="6" t="str">
        <f t="shared" ref="N3" si="2">L5</f>
        <v>Segunda-Feira</v>
      </c>
      <c r="O3" s="6" t="str">
        <f t="shared" ref="O3" si="3">O5</f>
        <v>Terça-Feira</v>
      </c>
      <c r="P3" s="6" t="str">
        <f t="shared" ref="P3" si="4">O5</f>
        <v>Terça-Feira</v>
      </c>
      <c r="Q3" s="6" t="str">
        <f t="shared" ref="Q3" si="5">O5</f>
        <v>Terça-Feira</v>
      </c>
      <c r="R3" s="6" t="str">
        <f t="shared" ref="R3" si="6">R5</f>
        <v>Quarta-Feira</v>
      </c>
      <c r="S3" s="6" t="str">
        <f t="shared" ref="S3" si="7">R5</f>
        <v>Quarta-Feira</v>
      </c>
      <c r="T3" s="6" t="str">
        <f t="shared" ref="T3" si="8">R5</f>
        <v>Quarta-Feira</v>
      </c>
      <c r="U3" s="6" t="str">
        <f t="shared" ref="U3" si="9">U5</f>
        <v>Quinta-Feira</v>
      </c>
      <c r="V3" s="6" t="str">
        <f t="shared" ref="V3" si="10">U5</f>
        <v>Quinta-Feira</v>
      </c>
      <c r="W3" s="6" t="str">
        <f t="shared" ref="W3" si="11">U5</f>
        <v>Quinta-Feira</v>
      </c>
      <c r="X3" s="6" t="str">
        <f t="shared" ref="X3" si="12">X5</f>
        <v>Sexta-Feira</v>
      </c>
      <c r="Y3" s="6" t="str">
        <f t="shared" ref="Y3" si="13">X5</f>
        <v>Sexta-Feira</v>
      </c>
      <c r="Z3" s="6" t="str">
        <f t="shared" ref="Z3" si="14">X5</f>
        <v>Sexta-Feira</v>
      </c>
      <c r="AA3" s="6" t="str">
        <f t="shared" ref="AA3" si="15">AA5</f>
        <v>Sábado</v>
      </c>
      <c r="AB3" s="6" t="str">
        <f t="shared" ref="AB3" si="16">AA5</f>
        <v>Sábado</v>
      </c>
      <c r="AC3" s="6" t="str">
        <f t="shared" ref="AC3" si="17">AA5</f>
        <v>Sábado</v>
      </c>
      <c r="AD3" s="6" t="str">
        <f t="shared" ref="AD3" si="18">AD5</f>
        <v>Domingo</v>
      </c>
      <c r="AE3" s="6" t="str">
        <f t="shared" ref="AE3" si="19">AD5</f>
        <v>Domingo</v>
      </c>
      <c r="AF3" s="6" t="str">
        <f t="shared" ref="AF3" si="20">AD5</f>
        <v>Domingo</v>
      </c>
      <c r="AG3" s="6" t="str">
        <f t="shared" ref="AG3" si="21">AG5</f>
        <v>Segunda-Feira</v>
      </c>
      <c r="AH3" s="6" t="str">
        <f t="shared" ref="AH3" si="22">AG5</f>
        <v>Segunda-Feira</v>
      </c>
      <c r="AI3" s="6" t="str">
        <f t="shared" ref="AI3" si="23">AG5</f>
        <v>Segunda-Feira</v>
      </c>
      <c r="AJ3" s="6" t="str">
        <f t="shared" ref="AJ3" si="24">AJ5</f>
        <v>Terça-Feira</v>
      </c>
      <c r="AK3" s="6" t="str">
        <f t="shared" ref="AK3" si="25">AJ5</f>
        <v>Terça-Feira</v>
      </c>
      <c r="AL3" s="6" t="str">
        <f t="shared" ref="AL3" si="26">AJ5</f>
        <v>Terça-Feira</v>
      </c>
      <c r="AM3" s="6" t="str">
        <f t="shared" ref="AM3" si="27">AM5</f>
        <v>Quarta-Feira</v>
      </c>
      <c r="AN3" s="6" t="str">
        <f t="shared" ref="AN3" si="28">AM5</f>
        <v>Quarta-Feira</v>
      </c>
      <c r="AO3" s="6" t="str">
        <f t="shared" ref="AO3" si="29">AM5</f>
        <v>Quarta-Feira</v>
      </c>
      <c r="AP3" s="6" t="str">
        <f t="shared" ref="AP3" si="30">AP5</f>
        <v>Quinta-Feira</v>
      </c>
      <c r="AQ3" s="6" t="str">
        <f t="shared" ref="AQ3" si="31">AP5</f>
        <v>Quinta-Feira</v>
      </c>
      <c r="AR3" s="6" t="str">
        <f t="shared" ref="AR3" si="32">AP5</f>
        <v>Quinta-Feira</v>
      </c>
      <c r="AS3" s="6" t="str">
        <f t="shared" ref="AS3" si="33">AS5</f>
        <v>Sexta-Feira</v>
      </c>
      <c r="AT3" s="6" t="str">
        <f t="shared" ref="AT3" si="34">AS5</f>
        <v>Sexta-Feira</v>
      </c>
      <c r="AU3" s="6" t="str">
        <f t="shared" ref="AU3" si="35">AS5</f>
        <v>Sexta-Feira</v>
      </c>
      <c r="AV3" s="6" t="str">
        <f t="shared" ref="AV3" si="36">AV5</f>
        <v>Sábado</v>
      </c>
      <c r="AW3" s="6" t="str">
        <f t="shared" ref="AW3" si="37">AV5</f>
        <v>Sábado</v>
      </c>
      <c r="AX3" s="6" t="str">
        <f t="shared" ref="AX3" si="38">AV5</f>
        <v>Sábado</v>
      </c>
      <c r="AY3" s="6" t="str">
        <f t="shared" ref="AY3" si="39">AY5</f>
        <v>Domingo</v>
      </c>
      <c r="AZ3" s="6" t="str">
        <f t="shared" ref="AZ3" si="40">AY5</f>
        <v>Domingo</v>
      </c>
      <c r="BA3" s="6" t="str">
        <f t="shared" ref="BA3" si="41">AY5</f>
        <v>Domingo</v>
      </c>
      <c r="BB3" s="6" t="str">
        <f t="shared" ref="BB3" si="42">BB5</f>
        <v>Segunda-Feira</v>
      </c>
      <c r="BC3" s="6" t="str">
        <f t="shared" ref="BC3" si="43">BB5</f>
        <v>Segunda-Feira</v>
      </c>
      <c r="BD3" s="6" t="str">
        <f t="shared" ref="BD3" si="44">BB5</f>
        <v>Segunda-Feira</v>
      </c>
      <c r="BE3" s="6" t="str">
        <f t="shared" ref="BE3" si="45">BE5</f>
        <v>Terça-Feira</v>
      </c>
      <c r="BF3" s="6" t="str">
        <f t="shared" ref="BF3" si="46">BE5</f>
        <v>Terça-Feira</v>
      </c>
      <c r="BG3" s="6" t="str">
        <f t="shared" ref="BG3" si="47">BE5</f>
        <v>Terça-Feira</v>
      </c>
      <c r="BH3" s="6" t="str">
        <f t="shared" ref="BH3" si="48">BH5</f>
        <v>Quarta-Feira</v>
      </c>
      <c r="BI3" s="6" t="str">
        <f t="shared" ref="BI3" si="49">BH5</f>
        <v>Quarta-Feira</v>
      </c>
      <c r="BJ3" s="6" t="str">
        <f t="shared" ref="BJ3" si="50">BH5</f>
        <v>Quarta-Feira</v>
      </c>
      <c r="BK3" s="6" t="str">
        <f t="shared" ref="BK3" si="51">BK5</f>
        <v>Quinta-Feira</v>
      </c>
      <c r="BL3" s="6" t="str">
        <f t="shared" ref="BL3" si="52">BK5</f>
        <v>Quinta-Feira</v>
      </c>
      <c r="BM3" s="6" t="str">
        <f t="shared" ref="BM3" si="53">BK5</f>
        <v>Quinta-Feira</v>
      </c>
      <c r="BN3" s="6" t="str">
        <f t="shared" ref="BN3" si="54">BN5</f>
        <v>Sexta-Feira</v>
      </c>
      <c r="BO3" s="6" t="str">
        <f t="shared" ref="BO3" si="55">BN5</f>
        <v>Sexta-Feira</v>
      </c>
      <c r="BP3" s="6" t="str">
        <f t="shared" ref="BP3" si="56">BN5</f>
        <v>Sexta-Feira</v>
      </c>
      <c r="BQ3" s="6" t="str">
        <f t="shared" ref="BQ3" si="57">BQ5</f>
        <v>Sábado</v>
      </c>
      <c r="BR3" s="6" t="str">
        <f t="shared" ref="BR3" si="58">BQ5</f>
        <v>Sábado</v>
      </c>
      <c r="BS3" s="6" t="str">
        <f t="shared" ref="BS3" si="59">BQ5</f>
        <v>Sábado</v>
      </c>
      <c r="BT3" s="6" t="str">
        <f t="shared" ref="BT3" si="60">BT5</f>
        <v>Domingo</v>
      </c>
      <c r="BU3" s="6" t="str">
        <f t="shared" ref="BU3" si="61">BT5</f>
        <v>Domingo</v>
      </c>
      <c r="BV3" s="6" t="str">
        <f t="shared" ref="BV3" si="62">BT5</f>
        <v>Domingo</v>
      </c>
      <c r="BW3" s="6" t="str">
        <f t="shared" ref="BW3" si="63">BW5</f>
        <v>Segunda-Feira</v>
      </c>
      <c r="BX3" s="6" t="str">
        <f t="shared" ref="BX3" si="64">BW5</f>
        <v>Segunda-Feira</v>
      </c>
      <c r="BY3" s="6" t="str">
        <f t="shared" ref="BY3" si="65">BW5</f>
        <v>Segunda-Feira</v>
      </c>
      <c r="BZ3" s="6" t="str">
        <f t="shared" ref="BZ3" si="66">BZ5</f>
        <v>Terça-Feira</v>
      </c>
      <c r="CA3" s="6" t="str">
        <f t="shared" ref="CA3" si="67">BZ5</f>
        <v>Terça-Feira</v>
      </c>
      <c r="CB3" s="6" t="str">
        <f t="shared" ref="CB3" si="68">BZ5</f>
        <v>Terça-Feira</v>
      </c>
      <c r="CC3" s="6" t="str">
        <f t="shared" ref="CC3" si="69">CC5</f>
        <v>Quarta-Feira</v>
      </c>
      <c r="CD3" s="6" t="str">
        <f t="shared" ref="CD3" si="70">CC5</f>
        <v>Quarta-Feira</v>
      </c>
      <c r="CE3" s="6" t="str">
        <f t="shared" ref="CE3" si="71">CC5</f>
        <v>Quarta-Feira</v>
      </c>
      <c r="CF3" s="6" t="str">
        <f t="shared" ref="CF3" si="72">CF5</f>
        <v>Quinta-Feira</v>
      </c>
      <c r="CG3" s="6" t="str">
        <f t="shared" ref="CG3" si="73">CF5</f>
        <v>Quinta-Feira</v>
      </c>
      <c r="CH3" s="6" t="str">
        <f t="shared" ref="CH3" si="74">CF5</f>
        <v>Quinta-Feira</v>
      </c>
      <c r="CI3" s="6" t="str">
        <f t="shared" ref="CI3" si="75">CI5</f>
        <v>Sexta-Feira</v>
      </c>
      <c r="CJ3" s="6" t="str">
        <f t="shared" ref="CJ3" si="76">CI5</f>
        <v>Sexta-Feira</v>
      </c>
      <c r="CK3" s="6" t="str">
        <f t="shared" ref="CK3" si="77">CI5</f>
        <v>Sexta-Feira</v>
      </c>
      <c r="CL3" s="6" t="str">
        <f t="shared" ref="CL3" si="78">CL5</f>
        <v>Sábado</v>
      </c>
      <c r="CM3" s="6" t="str">
        <f t="shared" ref="CM3" si="79">CL5</f>
        <v>Sábado</v>
      </c>
      <c r="CN3" s="6" t="str">
        <f t="shared" ref="CN3" si="80">CL5</f>
        <v>Sábado</v>
      </c>
      <c r="CO3" s="6" t="str">
        <f t="shared" ref="CO3" si="81">CO5</f>
        <v>Domingo</v>
      </c>
      <c r="CP3" s="6" t="str">
        <f t="shared" ref="CP3" si="82">CO5</f>
        <v>Domingo</v>
      </c>
      <c r="CQ3" s="6" t="str">
        <f t="shared" ref="CQ3" si="83">CO5</f>
        <v>Domingo</v>
      </c>
      <c r="CR3" s="6" t="str">
        <f t="shared" ref="CR3" si="84">CR5</f>
        <v>Segunda-Feira</v>
      </c>
      <c r="CS3" s="6" t="str">
        <f t="shared" ref="CS3" si="85">CR5</f>
        <v>Segunda-Feira</v>
      </c>
      <c r="CT3" s="6" t="str">
        <f t="shared" ref="CT3" si="86">CR5</f>
        <v>Segunda-Feira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44044</v>
      </c>
      <c r="G4" s="66"/>
      <c r="H4" s="67"/>
      <c r="I4" s="65">
        <f>F4+1</f>
        <v>44045</v>
      </c>
      <c r="J4" s="66"/>
      <c r="K4" s="67"/>
      <c r="L4" s="65">
        <f t="shared" ref="L4" si="87">I4+1</f>
        <v>44046</v>
      </c>
      <c r="M4" s="66"/>
      <c r="N4" s="67"/>
      <c r="O4" s="65">
        <f t="shared" ref="O4" si="88">L4+1</f>
        <v>44047</v>
      </c>
      <c r="P4" s="66"/>
      <c r="Q4" s="67"/>
      <c r="R4" s="65">
        <f t="shared" ref="R4" si="89">O4+1</f>
        <v>44048</v>
      </c>
      <c r="S4" s="66"/>
      <c r="T4" s="67"/>
      <c r="U4" s="65">
        <f t="shared" ref="U4" si="90">R4+1</f>
        <v>44049</v>
      </c>
      <c r="V4" s="66"/>
      <c r="W4" s="67"/>
      <c r="X4" s="65">
        <f t="shared" ref="X4" si="91">U4+1</f>
        <v>44050</v>
      </c>
      <c r="Y4" s="66"/>
      <c r="Z4" s="67"/>
      <c r="AA4" s="65">
        <f t="shared" ref="AA4" si="92">X4+1</f>
        <v>44051</v>
      </c>
      <c r="AB4" s="66"/>
      <c r="AC4" s="67"/>
      <c r="AD4" s="65">
        <f t="shared" ref="AD4" si="93">AA4+1</f>
        <v>44052</v>
      </c>
      <c r="AE4" s="66"/>
      <c r="AF4" s="67"/>
      <c r="AG4" s="65">
        <f t="shared" ref="AG4" si="94">AD4+1</f>
        <v>44053</v>
      </c>
      <c r="AH4" s="66"/>
      <c r="AI4" s="67"/>
      <c r="AJ4" s="65">
        <f t="shared" ref="AJ4" si="95">AG4+1</f>
        <v>44054</v>
      </c>
      <c r="AK4" s="66"/>
      <c r="AL4" s="67"/>
      <c r="AM4" s="65">
        <f t="shared" ref="AM4" si="96">AJ4+1</f>
        <v>44055</v>
      </c>
      <c r="AN4" s="66"/>
      <c r="AO4" s="67"/>
      <c r="AP4" s="65">
        <f t="shared" ref="AP4" si="97">AM4+1</f>
        <v>44056</v>
      </c>
      <c r="AQ4" s="66"/>
      <c r="AR4" s="67"/>
      <c r="AS4" s="65">
        <f t="shared" ref="AS4" si="98">AP4+1</f>
        <v>44057</v>
      </c>
      <c r="AT4" s="66"/>
      <c r="AU4" s="67"/>
      <c r="AV4" s="65">
        <f t="shared" ref="AV4" si="99">AS4+1</f>
        <v>44058</v>
      </c>
      <c r="AW4" s="66"/>
      <c r="AX4" s="67"/>
      <c r="AY4" s="65">
        <f t="shared" ref="AY4" si="100">AV4+1</f>
        <v>44059</v>
      </c>
      <c r="AZ4" s="66"/>
      <c r="BA4" s="67"/>
      <c r="BB4" s="65">
        <f t="shared" ref="BB4" si="101">AY4+1</f>
        <v>44060</v>
      </c>
      <c r="BC4" s="66"/>
      <c r="BD4" s="67"/>
      <c r="BE4" s="65">
        <f t="shared" ref="BE4" si="102">BB4+1</f>
        <v>44061</v>
      </c>
      <c r="BF4" s="66"/>
      <c r="BG4" s="67"/>
      <c r="BH4" s="65">
        <f t="shared" ref="BH4" si="103">BE4+1</f>
        <v>44062</v>
      </c>
      <c r="BI4" s="66"/>
      <c r="BJ4" s="67"/>
      <c r="BK4" s="65">
        <f t="shared" ref="BK4" si="104">BH4+1</f>
        <v>44063</v>
      </c>
      <c r="BL4" s="66"/>
      <c r="BM4" s="67"/>
      <c r="BN4" s="65">
        <f t="shared" ref="BN4" si="105">BK4+1</f>
        <v>44064</v>
      </c>
      <c r="BO4" s="66"/>
      <c r="BP4" s="67"/>
      <c r="BQ4" s="65">
        <f t="shared" ref="BQ4" si="106">BN4+1</f>
        <v>44065</v>
      </c>
      <c r="BR4" s="66"/>
      <c r="BS4" s="67"/>
      <c r="BT4" s="65">
        <f t="shared" ref="BT4" si="107">BQ4+1</f>
        <v>44066</v>
      </c>
      <c r="BU4" s="66"/>
      <c r="BV4" s="67"/>
      <c r="BW4" s="65">
        <f t="shared" ref="BW4" si="108">BT4+1</f>
        <v>44067</v>
      </c>
      <c r="BX4" s="66"/>
      <c r="BY4" s="67"/>
      <c r="BZ4" s="65">
        <f t="shared" ref="BZ4" si="109">BW4+1</f>
        <v>44068</v>
      </c>
      <c r="CA4" s="66"/>
      <c r="CB4" s="67"/>
      <c r="CC4" s="65">
        <f t="shared" ref="CC4" si="110">BZ4+1</f>
        <v>44069</v>
      </c>
      <c r="CD4" s="66"/>
      <c r="CE4" s="67"/>
      <c r="CF4" s="65">
        <f t="shared" ref="CF4" si="111">CC4+1</f>
        <v>44070</v>
      </c>
      <c r="CG4" s="66"/>
      <c r="CH4" s="67"/>
      <c r="CI4" s="65">
        <f t="shared" ref="CI4" si="112">CF4+1</f>
        <v>44071</v>
      </c>
      <c r="CJ4" s="66"/>
      <c r="CK4" s="67"/>
      <c r="CL4" s="65">
        <f t="shared" ref="CL4" si="113">CI4+1</f>
        <v>44072</v>
      </c>
      <c r="CM4" s="66"/>
      <c r="CN4" s="67"/>
      <c r="CO4" s="65">
        <f t="shared" ref="CO4" si="114">CL4+1</f>
        <v>44073</v>
      </c>
      <c r="CP4" s="66"/>
      <c r="CQ4" s="67"/>
      <c r="CR4" s="65">
        <f t="shared" ref="CR4" si="115">CO4+1</f>
        <v>44074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Sábado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Domingo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Segunda-Feira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Terça-Feira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Quarta-Feira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Quinta-Feira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Sexta-Feira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Sábado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Domingo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Segunda-Feira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Terça-Feira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Quarta-Feira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Quinta-Feira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Sexta-Feira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Sábado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Domingo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Segunda-Feira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Terça-Feira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Quarta-Feira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Quinta-Feira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Sexta-Feira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Sábado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Domingo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Segunda-Feira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Terça-Feira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Quarta-Feira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Quinta-Feira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Sexta-Feira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Sábado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Domingo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Segunda-Feira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e">
        <f ca="1">HLOOKUP(TODAY(),$F$4:$CT$12,4,FALSE)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e">
        <f ca="1">HLOOKUP(TODAY(),$F$4:$CT$12,5,FALSE)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e">
        <f ca="1">HLOOKUP(TODAY(),$F$4:$CT$12,6,FALSE)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HLOOKUP(TODAY(),$F$4:$CT$12,7,FALSE)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HLOOKUP(TODAY(),$F$4:$CT$12,8,FALSE)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HLOOKUP(TODAY(),$F$4:$CT$12,9,FALSE)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0</v>
      </c>
      <c r="I36" s="18">
        <f t="shared" ref="I36:I44" si="147">COUNTIF($F$8:$CT$8,$G36)</f>
        <v>0</v>
      </c>
      <c r="J36" s="18">
        <f t="shared" ref="J36:J44" si="148">COUNTIF($F$9:$CT$9,$G36)</f>
        <v>0</v>
      </c>
      <c r="K36" s="18">
        <f t="shared" ref="K36:K44" si="149">COUNTIF($F$10:$CT$10,$G36)</f>
        <v>0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0</v>
      </c>
      <c r="I37" s="18">
        <f t="shared" si="147"/>
        <v>0</v>
      </c>
      <c r="J37" s="18">
        <f t="shared" si="148"/>
        <v>0</v>
      </c>
      <c r="K37" s="18">
        <f t="shared" si="149"/>
        <v>0</v>
      </c>
      <c r="L37" s="18">
        <f t="shared" si="150"/>
        <v>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0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0</v>
      </c>
      <c r="I46" s="18">
        <f>COUNTIF($F$8:$CT$8,$G46)</f>
        <v>0</v>
      </c>
      <c r="J46" s="18">
        <f>COUNTIF($F$9:$CT$9,$G46)</f>
        <v>0</v>
      </c>
      <c r="K46" s="18">
        <f>COUNTIF($F$10:$CT$10,$G46)</f>
        <v>0</v>
      </c>
      <c r="L46" s="18">
        <f>COUNTIF($F$11:$CT$11,$G46)</f>
        <v>0</v>
      </c>
      <c r="M46" s="18">
        <f>COUNTIF($F$12:$CT$12,$G46)</f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0</v>
      </c>
      <c r="I48" s="24">
        <f t="shared" si="153"/>
        <v>0</v>
      </c>
      <c r="J48" s="24">
        <f t="shared" si="153"/>
        <v>0</v>
      </c>
      <c r="K48" s="24">
        <f t="shared" si="153"/>
        <v>0</v>
      </c>
      <c r="L48" s="24">
        <f t="shared" si="153"/>
        <v>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0</v>
      </c>
      <c r="I49" s="24">
        <f t="shared" si="154"/>
        <v>0</v>
      </c>
      <c r="J49" s="24">
        <f t="shared" si="154"/>
        <v>0</v>
      </c>
      <c r="K49" s="24">
        <f t="shared" si="154"/>
        <v>0</v>
      </c>
      <c r="L49" s="24">
        <f t="shared" si="154"/>
        <v>0</v>
      </c>
      <c r="M49" s="24">
        <f t="shared" si="15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CF5:CH5"/>
    <mergeCell ref="CI5:CK5"/>
    <mergeCell ref="CL5:CN5"/>
    <mergeCell ref="CO5:CQ5"/>
    <mergeCell ref="CR5:CT5"/>
    <mergeCell ref="P14:AP14"/>
    <mergeCell ref="AR14:BD14"/>
    <mergeCell ref="BN5:BP5"/>
    <mergeCell ref="BQ5:BS5"/>
    <mergeCell ref="BT5:BV5"/>
    <mergeCell ref="AD5:AF5"/>
    <mergeCell ref="AG5:AI5"/>
    <mergeCell ref="AJ5:AL5"/>
    <mergeCell ref="AM5:AO5"/>
    <mergeCell ref="AP5:AR5"/>
    <mergeCell ref="AS5:AU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CO4:CQ4"/>
    <mergeCell ref="CR4:CT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AJ4:AL4"/>
    <mergeCell ref="A1:E1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conditionalFormatting sqref="F7:CT12">
    <cfRule type="expression" dxfId="59" priority="1">
      <formula>IF(F$3="Domingo",TRUE,FALSE)</formula>
    </cfRule>
    <cfRule type="expression" dxfId="58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57" priority="3" operator="equal">
      <formula>#REF!</formula>
    </cfRule>
    <cfRule type="cellIs" dxfId="56" priority="4" operator="equal">
      <formula>$A$60</formula>
    </cfRule>
    <cfRule type="cellIs" dxfId="55" priority="5" operator="equal">
      <formula>$A$67</formula>
    </cfRule>
    <cfRule type="cellIs" dxfId="54" priority="6" operator="equal">
      <formula>$A$66</formula>
    </cfRule>
    <cfRule type="cellIs" dxfId="53" priority="7" operator="equal">
      <formula>$A$65</formula>
    </cfRule>
    <cfRule type="cellIs" dxfId="52" priority="8" operator="equal">
      <formula>$A$64</formula>
    </cfRule>
    <cfRule type="cellIs" dxfId="51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50" priority="10" operator="equal">
      <formula>$A$62</formula>
    </cfRule>
    <cfRule type="cellIs" dxfId="49" priority="11" operator="equal">
      <formula>$A$61</formula>
    </cfRule>
    <cfRule type="cellIs" dxfId="48" priority="12" operator="equal">
      <formula>$A$68</formula>
    </cfRule>
  </conditionalFormatting>
  <dataValidations count="2">
    <dataValidation type="list" allowBlank="1" showInputMessage="1" showErrorMessage="1" sqref="CR7:CR12 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  <dataValidation type="list" allowBlank="1" showInputMessage="1" showErrorMessage="1" sqref="B7:B12">
      <formula1>$B$70:$B$79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B90"/>
  <sheetViews>
    <sheetView zoomScale="80" zoomScaleNormal="80" workbookViewId="0">
      <pane xSplit="5" ySplit="6" topLeftCell="F19" activePane="bottomRight" state="frozen"/>
      <selection activeCell="D53" sqref="D53"/>
      <selection pane="topRight" activeCell="D53" sqref="D53"/>
      <selection pane="bottomLeft" activeCell="D53" sqref="D53"/>
      <selection pane="bottomRight" activeCell="CR1" sqref="CR1:CT1048576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5" width="16.5703125" style="6" customWidth="1"/>
    <col min="96" max="96" width="9.140625" style="11" hidden="1" customWidth="1"/>
    <col min="97" max="97" width="15.5703125" style="11" hidden="1" customWidth="1"/>
    <col min="98" max="99" width="9.140625" style="11" hidden="1" customWidth="1"/>
    <col min="100" max="100" width="10" style="11" customWidth="1"/>
    <col min="101" max="106" width="9.140625" style="11"/>
    <col min="107" max="16384" width="9.140625" style="6"/>
  </cols>
  <sheetData>
    <row r="1" spans="1:101" ht="21.75" thickBot="1" x14ac:dyDescent="0.3">
      <c r="A1" s="68" t="str">
        <f>"Calendário de uso HPLC -  "&amp;IF(MONTH(F4)=1,CU1,IF(MONTH(F4)=2,CU2,IF(MONTH(F4)=3,CU3,IF(MONTH(F4)=4,CU4,IF(MONTH(F4)=5,CU5,IF(MONTH(F4)=6,CU6,IF(MONTH(F4)=7,CU7,IF(MONTH(F4)=8,CU8,IF(MONTH(F4)=9,CU9,IF(MONTH(F4)=10,CU10,IF(MONTH(F4)=11,CU11,IF(MONTH(F4)=12,CU12,"NA")))))))))))) &amp; "/" &amp; YEAR(F4) &amp; " - Equipe MP"</f>
        <v>Calendário de uso HPLC -  Setembro/2020 -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R1" s="10">
        <v>1</v>
      </c>
      <c r="CS1" s="11" t="s">
        <v>53</v>
      </c>
      <c r="CT1" s="12">
        <v>1</v>
      </c>
      <c r="CU1" s="11" t="s">
        <v>60</v>
      </c>
    </row>
    <row r="2" spans="1:101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R2" s="10">
        <v>2</v>
      </c>
      <c r="CS2" s="11" t="s">
        <v>75</v>
      </c>
      <c r="CT2" s="12">
        <v>2</v>
      </c>
      <c r="CU2" s="11" t="s">
        <v>76</v>
      </c>
    </row>
    <row r="3" spans="1:101" ht="15.75" hidden="1" thickBot="1" x14ac:dyDescent="0.3">
      <c r="F3" s="18" t="str">
        <f>F5</f>
        <v>Terça-Feira</v>
      </c>
      <c r="G3" s="18" t="str">
        <f>F5</f>
        <v>Terça-Feira</v>
      </c>
      <c r="H3" s="18" t="str">
        <f>F5</f>
        <v>Terça-Feira</v>
      </c>
      <c r="I3" s="18" t="str">
        <f>I5</f>
        <v>Quarta-Feira</v>
      </c>
      <c r="J3" s="6" t="str">
        <f>I5</f>
        <v>Quarta-Feira</v>
      </c>
      <c r="K3" s="6" t="str">
        <f>I5</f>
        <v>Quarta-Feira</v>
      </c>
      <c r="L3" s="6" t="str">
        <f t="shared" ref="L3" si="0">L5</f>
        <v>Quinta-Feira</v>
      </c>
      <c r="M3" s="6" t="str">
        <f t="shared" ref="M3" si="1">L5</f>
        <v>Quinta-Feira</v>
      </c>
      <c r="N3" s="6" t="str">
        <f t="shared" ref="N3" si="2">L5</f>
        <v>Quinta-Feira</v>
      </c>
      <c r="O3" s="6" t="str">
        <f t="shared" ref="O3" si="3">O5</f>
        <v>Sexta-Feira</v>
      </c>
      <c r="P3" s="6" t="str">
        <f t="shared" ref="P3" si="4">O5</f>
        <v>Sexta-Feira</v>
      </c>
      <c r="Q3" s="6" t="str">
        <f t="shared" ref="Q3" si="5">O5</f>
        <v>Sexta-Feira</v>
      </c>
      <c r="R3" s="6" t="str">
        <f t="shared" ref="R3" si="6">R5</f>
        <v>Sábado</v>
      </c>
      <c r="S3" s="6" t="str">
        <f t="shared" ref="S3" si="7">R5</f>
        <v>Sábado</v>
      </c>
      <c r="T3" s="6" t="str">
        <f t="shared" ref="T3" si="8">R5</f>
        <v>Sábado</v>
      </c>
      <c r="U3" s="6" t="str">
        <f t="shared" ref="U3" si="9">U5</f>
        <v>Domingo</v>
      </c>
      <c r="V3" s="6" t="str">
        <f t="shared" ref="V3" si="10">U5</f>
        <v>Domingo</v>
      </c>
      <c r="W3" s="6" t="str">
        <f t="shared" ref="W3" si="11">U5</f>
        <v>Domingo</v>
      </c>
      <c r="X3" s="6" t="str">
        <f t="shared" ref="X3" si="12">X5</f>
        <v>Segunda-Feira</v>
      </c>
      <c r="Y3" s="6" t="str">
        <f t="shared" ref="Y3" si="13">X5</f>
        <v>Segunda-Feira</v>
      </c>
      <c r="Z3" s="6" t="str">
        <f t="shared" ref="Z3" si="14">X5</f>
        <v>Segunda-Feira</v>
      </c>
      <c r="AA3" s="6" t="str">
        <f t="shared" ref="AA3" si="15">AA5</f>
        <v>Terça-Feira</v>
      </c>
      <c r="AB3" s="6" t="str">
        <f t="shared" ref="AB3" si="16">AA5</f>
        <v>Terça-Feira</v>
      </c>
      <c r="AC3" s="6" t="str">
        <f t="shared" ref="AC3" si="17">AA5</f>
        <v>Terça-Feira</v>
      </c>
      <c r="AD3" s="6" t="str">
        <f t="shared" ref="AD3" si="18">AD5</f>
        <v>Quarta-Feira</v>
      </c>
      <c r="AE3" s="6" t="str">
        <f t="shared" ref="AE3" si="19">AD5</f>
        <v>Quarta-Feira</v>
      </c>
      <c r="AF3" s="6" t="str">
        <f t="shared" ref="AF3" si="20">AD5</f>
        <v>Quarta-Feira</v>
      </c>
      <c r="AG3" s="6" t="str">
        <f t="shared" ref="AG3" si="21">AG5</f>
        <v>Quinta-Feira</v>
      </c>
      <c r="AH3" s="6" t="str">
        <f t="shared" ref="AH3" si="22">AG5</f>
        <v>Quinta-Feira</v>
      </c>
      <c r="AI3" s="6" t="str">
        <f t="shared" ref="AI3" si="23">AG5</f>
        <v>Quinta-Feira</v>
      </c>
      <c r="AJ3" s="6" t="str">
        <f t="shared" ref="AJ3" si="24">AJ5</f>
        <v>Sexta-Feira</v>
      </c>
      <c r="AK3" s="6" t="str">
        <f t="shared" ref="AK3" si="25">AJ5</f>
        <v>Sexta-Feira</v>
      </c>
      <c r="AL3" s="6" t="str">
        <f t="shared" ref="AL3" si="26">AJ5</f>
        <v>Sexta-Feira</v>
      </c>
      <c r="AM3" s="6" t="str">
        <f t="shared" ref="AM3" si="27">AM5</f>
        <v>Sábado</v>
      </c>
      <c r="AN3" s="6" t="str">
        <f t="shared" ref="AN3" si="28">AM5</f>
        <v>Sábado</v>
      </c>
      <c r="AO3" s="6" t="str">
        <f t="shared" ref="AO3" si="29">AM5</f>
        <v>Sábado</v>
      </c>
      <c r="AP3" s="6" t="str">
        <f t="shared" ref="AP3" si="30">AP5</f>
        <v>Domingo</v>
      </c>
      <c r="AQ3" s="6" t="str">
        <f t="shared" ref="AQ3" si="31">AP5</f>
        <v>Domingo</v>
      </c>
      <c r="AR3" s="6" t="str">
        <f t="shared" ref="AR3" si="32">AP5</f>
        <v>Domingo</v>
      </c>
      <c r="AS3" s="6" t="str">
        <f t="shared" ref="AS3" si="33">AS5</f>
        <v>Segunda-Feira</v>
      </c>
      <c r="AT3" s="6" t="str">
        <f t="shared" ref="AT3" si="34">AS5</f>
        <v>Segunda-Feira</v>
      </c>
      <c r="AU3" s="6" t="str">
        <f t="shared" ref="AU3" si="35">AS5</f>
        <v>Segunda-Feira</v>
      </c>
      <c r="AV3" s="6" t="str">
        <f t="shared" ref="AV3" si="36">AV5</f>
        <v>Terça-Feira</v>
      </c>
      <c r="AW3" s="6" t="str">
        <f t="shared" ref="AW3" si="37">AV5</f>
        <v>Terça-Feira</v>
      </c>
      <c r="AX3" s="6" t="str">
        <f t="shared" ref="AX3" si="38">AV5</f>
        <v>Terça-Feira</v>
      </c>
      <c r="AY3" s="6" t="str">
        <f t="shared" ref="AY3" si="39">AY5</f>
        <v>Quarta-Feira</v>
      </c>
      <c r="AZ3" s="6" t="str">
        <f t="shared" ref="AZ3" si="40">AY5</f>
        <v>Quarta-Feira</v>
      </c>
      <c r="BA3" s="6" t="str">
        <f t="shared" ref="BA3" si="41">AY5</f>
        <v>Quarta-Feira</v>
      </c>
      <c r="BB3" s="6" t="str">
        <f t="shared" ref="BB3" si="42">BB5</f>
        <v>Quinta-Feira</v>
      </c>
      <c r="BC3" s="6" t="str">
        <f t="shared" ref="BC3" si="43">BB5</f>
        <v>Quinta-Feira</v>
      </c>
      <c r="BD3" s="6" t="str">
        <f t="shared" ref="BD3" si="44">BB5</f>
        <v>Quinta-Feira</v>
      </c>
      <c r="BE3" s="6" t="str">
        <f t="shared" ref="BE3" si="45">BE5</f>
        <v>Sexta-Feira</v>
      </c>
      <c r="BF3" s="6" t="str">
        <f t="shared" ref="BF3" si="46">BE5</f>
        <v>Sexta-Feira</v>
      </c>
      <c r="BG3" s="6" t="str">
        <f t="shared" ref="BG3" si="47">BE5</f>
        <v>Sexta-Feira</v>
      </c>
      <c r="BH3" s="6" t="str">
        <f t="shared" ref="BH3" si="48">BH5</f>
        <v>Sábado</v>
      </c>
      <c r="BI3" s="6" t="str">
        <f t="shared" ref="BI3" si="49">BH5</f>
        <v>Sábado</v>
      </c>
      <c r="BJ3" s="6" t="str">
        <f t="shared" ref="BJ3" si="50">BH5</f>
        <v>Sábado</v>
      </c>
      <c r="BK3" s="6" t="str">
        <f t="shared" ref="BK3" si="51">BK5</f>
        <v>Domingo</v>
      </c>
      <c r="BL3" s="6" t="str">
        <f t="shared" ref="BL3" si="52">BK5</f>
        <v>Domingo</v>
      </c>
      <c r="BM3" s="6" t="str">
        <f t="shared" ref="BM3" si="53">BK5</f>
        <v>Domingo</v>
      </c>
      <c r="BN3" s="6" t="str">
        <f t="shared" ref="BN3" si="54">BN5</f>
        <v>Segunda-Feira</v>
      </c>
      <c r="BO3" s="6" t="str">
        <f t="shared" ref="BO3" si="55">BN5</f>
        <v>Segunda-Feira</v>
      </c>
      <c r="BP3" s="6" t="str">
        <f t="shared" ref="BP3" si="56">BN5</f>
        <v>Segunda-Feira</v>
      </c>
      <c r="BQ3" s="6" t="str">
        <f t="shared" ref="BQ3" si="57">BQ5</f>
        <v>Terça-Feira</v>
      </c>
      <c r="BR3" s="6" t="str">
        <f t="shared" ref="BR3" si="58">BQ5</f>
        <v>Terça-Feira</v>
      </c>
      <c r="BS3" s="6" t="str">
        <f t="shared" ref="BS3" si="59">BQ5</f>
        <v>Terça-Feira</v>
      </c>
      <c r="BT3" s="6" t="str">
        <f t="shared" ref="BT3" si="60">BT5</f>
        <v>Quarta-Feira</v>
      </c>
      <c r="BU3" s="6" t="str">
        <f t="shared" ref="BU3" si="61">BT5</f>
        <v>Quarta-Feira</v>
      </c>
      <c r="BV3" s="6" t="str">
        <f t="shared" ref="BV3" si="62">BT5</f>
        <v>Quarta-Feira</v>
      </c>
      <c r="BW3" s="6" t="str">
        <f t="shared" ref="BW3" si="63">BW5</f>
        <v>Quinta-Feira</v>
      </c>
      <c r="BX3" s="6" t="str">
        <f t="shared" ref="BX3" si="64">BW5</f>
        <v>Quinta-Feira</v>
      </c>
      <c r="BY3" s="6" t="str">
        <f t="shared" ref="BY3" si="65">BW5</f>
        <v>Quinta-Feira</v>
      </c>
      <c r="BZ3" s="6" t="str">
        <f t="shared" ref="BZ3" si="66">BZ5</f>
        <v>Sexta-Feira</v>
      </c>
      <c r="CA3" s="6" t="str">
        <f t="shared" ref="CA3" si="67">BZ5</f>
        <v>Sexta-Feira</v>
      </c>
      <c r="CB3" s="6" t="str">
        <f t="shared" ref="CB3" si="68">BZ5</f>
        <v>Sexta-Feira</v>
      </c>
      <c r="CC3" s="6" t="str">
        <f t="shared" ref="CC3" si="69">CC5</f>
        <v>Sábado</v>
      </c>
      <c r="CD3" s="6" t="str">
        <f t="shared" ref="CD3" si="70">CC5</f>
        <v>Sábado</v>
      </c>
      <c r="CE3" s="6" t="str">
        <f t="shared" ref="CE3" si="71">CC5</f>
        <v>Sábado</v>
      </c>
      <c r="CF3" s="6" t="str">
        <f t="shared" ref="CF3" si="72">CF5</f>
        <v>Domingo</v>
      </c>
      <c r="CG3" s="6" t="str">
        <f t="shared" ref="CG3" si="73">CF5</f>
        <v>Domingo</v>
      </c>
      <c r="CH3" s="6" t="str">
        <f t="shared" ref="CH3" si="74">CF5</f>
        <v>Domingo</v>
      </c>
      <c r="CI3" s="6" t="str">
        <f t="shared" ref="CI3" si="75">CI5</f>
        <v>Segunda-Feira</v>
      </c>
      <c r="CJ3" s="6" t="str">
        <f t="shared" ref="CJ3" si="76">CI5</f>
        <v>Segunda-Feira</v>
      </c>
      <c r="CK3" s="6" t="str">
        <f t="shared" ref="CK3" si="77">CI5</f>
        <v>Segunda-Feira</v>
      </c>
      <c r="CL3" s="6" t="str">
        <f t="shared" ref="CL3" si="78">CL5</f>
        <v>Terça-Feira</v>
      </c>
      <c r="CM3" s="6" t="str">
        <f t="shared" ref="CM3" si="79">CL5</f>
        <v>Terça-Feira</v>
      </c>
      <c r="CN3" s="6" t="str">
        <f t="shared" ref="CN3" si="80">CL5</f>
        <v>Terça-Feira</v>
      </c>
      <c r="CO3" s="6" t="str">
        <f t="shared" ref="CO3" si="81">CO5</f>
        <v>Quarta-Feira</v>
      </c>
      <c r="CP3" s="6" t="str">
        <f t="shared" ref="CP3" si="82">CO5</f>
        <v>Quarta-Feira</v>
      </c>
      <c r="CQ3" s="6" t="str">
        <f t="shared" ref="CQ3" si="83">CO5</f>
        <v>Quarta-Feira</v>
      </c>
      <c r="CR3" s="10">
        <v>3</v>
      </c>
      <c r="CS3" s="11" t="s">
        <v>54</v>
      </c>
      <c r="CT3" s="12">
        <v>3</v>
      </c>
      <c r="CU3" s="11" t="s">
        <v>61</v>
      </c>
      <c r="CV3" s="6"/>
      <c r="CW3" s="6"/>
    </row>
    <row r="4" spans="1:101" x14ac:dyDescent="0.25">
      <c r="F4" s="65">
        <v>44075</v>
      </c>
      <c r="G4" s="66"/>
      <c r="H4" s="67"/>
      <c r="I4" s="65">
        <f>F4+1</f>
        <v>44076</v>
      </c>
      <c r="J4" s="66"/>
      <c r="K4" s="67"/>
      <c r="L4" s="65">
        <f t="shared" ref="L4" si="84">I4+1</f>
        <v>44077</v>
      </c>
      <c r="M4" s="66"/>
      <c r="N4" s="67"/>
      <c r="O4" s="65">
        <f t="shared" ref="O4" si="85">L4+1</f>
        <v>44078</v>
      </c>
      <c r="P4" s="66"/>
      <c r="Q4" s="67"/>
      <c r="R4" s="65">
        <f t="shared" ref="R4" si="86">O4+1</f>
        <v>44079</v>
      </c>
      <c r="S4" s="66"/>
      <c r="T4" s="67"/>
      <c r="U4" s="65">
        <f t="shared" ref="U4" si="87">R4+1</f>
        <v>44080</v>
      </c>
      <c r="V4" s="66"/>
      <c r="W4" s="67"/>
      <c r="X4" s="65">
        <f t="shared" ref="X4" si="88">U4+1</f>
        <v>44081</v>
      </c>
      <c r="Y4" s="66"/>
      <c r="Z4" s="67"/>
      <c r="AA4" s="65">
        <f t="shared" ref="AA4" si="89">X4+1</f>
        <v>44082</v>
      </c>
      <c r="AB4" s="66"/>
      <c r="AC4" s="67"/>
      <c r="AD4" s="65">
        <f t="shared" ref="AD4" si="90">AA4+1</f>
        <v>44083</v>
      </c>
      <c r="AE4" s="66"/>
      <c r="AF4" s="67"/>
      <c r="AG4" s="65">
        <f t="shared" ref="AG4" si="91">AD4+1</f>
        <v>44084</v>
      </c>
      <c r="AH4" s="66"/>
      <c r="AI4" s="67"/>
      <c r="AJ4" s="65">
        <f t="shared" ref="AJ4" si="92">AG4+1</f>
        <v>44085</v>
      </c>
      <c r="AK4" s="66"/>
      <c r="AL4" s="67"/>
      <c r="AM4" s="65">
        <f t="shared" ref="AM4" si="93">AJ4+1</f>
        <v>44086</v>
      </c>
      <c r="AN4" s="66"/>
      <c r="AO4" s="67"/>
      <c r="AP4" s="65">
        <f t="shared" ref="AP4" si="94">AM4+1</f>
        <v>44087</v>
      </c>
      <c r="AQ4" s="66"/>
      <c r="AR4" s="67"/>
      <c r="AS4" s="65">
        <f t="shared" ref="AS4" si="95">AP4+1</f>
        <v>44088</v>
      </c>
      <c r="AT4" s="66"/>
      <c r="AU4" s="67"/>
      <c r="AV4" s="65">
        <f t="shared" ref="AV4" si="96">AS4+1</f>
        <v>44089</v>
      </c>
      <c r="AW4" s="66"/>
      <c r="AX4" s="67"/>
      <c r="AY4" s="65">
        <f t="shared" ref="AY4" si="97">AV4+1</f>
        <v>44090</v>
      </c>
      <c r="AZ4" s="66"/>
      <c r="BA4" s="67"/>
      <c r="BB4" s="65">
        <f t="shared" ref="BB4" si="98">AY4+1</f>
        <v>44091</v>
      </c>
      <c r="BC4" s="66"/>
      <c r="BD4" s="67"/>
      <c r="BE4" s="65">
        <f t="shared" ref="BE4" si="99">BB4+1</f>
        <v>44092</v>
      </c>
      <c r="BF4" s="66"/>
      <c r="BG4" s="67"/>
      <c r="BH4" s="65">
        <f t="shared" ref="BH4" si="100">BE4+1</f>
        <v>44093</v>
      </c>
      <c r="BI4" s="66"/>
      <c r="BJ4" s="67"/>
      <c r="BK4" s="65">
        <f t="shared" ref="BK4" si="101">BH4+1</f>
        <v>44094</v>
      </c>
      <c r="BL4" s="66"/>
      <c r="BM4" s="67"/>
      <c r="BN4" s="65">
        <f t="shared" ref="BN4" si="102">BK4+1</f>
        <v>44095</v>
      </c>
      <c r="BO4" s="66"/>
      <c r="BP4" s="67"/>
      <c r="BQ4" s="65">
        <f t="shared" ref="BQ4" si="103">BN4+1</f>
        <v>44096</v>
      </c>
      <c r="BR4" s="66"/>
      <c r="BS4" s="67"/>
      <c r="BT4" s="65">
        <f t="shared" ref="BT4" si="104">BQ4+1</f>
        <v>44097</v>
      </c>
      <c r="BU4" s="66"/>
      <c r="BV4" s="67"/>
      <c r="BW4" s="65">
        <f t="shared" ref="BW4" si="105">BT4+1</f>
        <v>44098</v>
      </c>
      <c r="BX4" s="66"/>
      <c r="BY4" s="67"/>
      <c r="BZ4" s="65">
        <f t="shared" ref="BZ4" si="106">BW4+1</f>
        <v>44099</v>
      </c>
      <c r="CA4" s="66"/>
      <c r="CB4" s="67"/>
      <c r="CC4" s="65">
        <f t="shared" ref="CC4" si="107">BZ4+1</f>
        <v>44100</v>
      </c>
      <c r="CD4" s="66"/>
      <c r="CE4" s="67"/>
      <c r="CF4" s="65">
        <f t="shared" ref="CF4" si="108">CC4+1</f>
        <v>44101</v>
      </c>
      <c r="CG4" s="66"/>
      <c r="CH4" s="67"/>
      <c r="CI4" s="65">
        <f t="shared" ref="CI4" si="109">CF4+1</f>
        <v>44102</v>
      </c>
      <c r="CJ4" s="66"/>
      <c r="CK4" s="67"/>
      <c r="CL4" s="65">
        <f t="shared" ref="CL4" si="110">CI4+1</f>
        <v>44103</v>
      </c>
      <c r="CM4" s="66"/>
      <c r="CN4" s="67"/>
      <c r="CO4" s="65">
        <f t="shared" ref="CO4" si="111">CL4+1</f>
        <v>44104</v>
      </c>
      <c r="CP4" s="66"/>
      <c r="CQ4" s="67"/>
      <c r="CR4" s="10">
        <v>4</v>
      </c>
      <c r="CS4" s="11" t="s">
        <v>55</v>
      </c>
      <c r="CT4" s="12">
        <v>4</v>
      </c>
      <c r="CU4" s="11" t="s">
        <v>63</v>
      </c>
    </row>
    <row r="5" spans="1:101" ht="15.75" thickBot="1" x14ac:dyDescent="0.3">
      <c r="A5" s="13"/>
      <c r="F5" s="57" t="str">
        <f>IF(WEEKDAY(F4,2)=1,$CS$1,IF(WEEKDAY(F4,2)=2,$CS$2,IF(WEEKDAY(F4,2)=3,$CS$3,IF(WEEKDAY(F4,2)=4,$CS$4,IF(WEEKDAY(F4,2)=5,$CS$5,IF(WEEKDAY(F4,2)=6,$CS$6,IF(WEEKDAY(F4,2)=7,$CS$7,"ERRO")))))))</f>
        <v>Terça-Feira</v>
      </c>
      <c r="G5" s="58"/>
      <c r="H5" s="59"/>
      <c r="I5" s="57" t="str">
        <f t="shared" ref="I5" si="112">IF(WEEKDAY(I4,2)=1,$CS$1,IF(WEEKDAY(I4,2)=2,$CS$2,IF(WEEKDAY(I4,2)=3,$CS$3,IF(WEEKDAY(I4,2)=4,$CS$4,IF(WEEKDAY(I4,2)=5,$CS$5,IF(WEEKDAY(I4,2)=6,$CS$6,IF(WEEKDAY(I4,2)=7,$CS$7,"ERRO")))))))</f>
        <v>Quarta-Feira</v>
      </c>
      <c r="J5" s="58"/>
      <c r="K5" s="59"/>
      <c r="L5" s="57" t="str">
        <f t="shared" ref="L5" si="113">IF(WEEKDAY(L4,2)=1,$CS$1,IF(WEEKDAY(L4,2)=2,$CS$2,IF(WEEKDAY(L4,2)=3,$CS$3,IF(WEEKDAY(L4,2)=4,$CS$4,IF(WEEKDAY(L4,2)=5,$CS$5,IF(WEEKDAY(L4,2)=6,$CS$6,IF(WEEKDAY(L4,2)=7,$CS$7,"ERRO")))))))</f>
        <v>Quinta-Feira</v>
      </c>
      <c r="M5" s="58"/>
      <c r="N5" s="59"/>
      <c r="O5" s="57" t="str">
        <f t="shared" ref="O5" si="114">IF(WEEKDAY(O4,2)=1,$CS$1,IF(WEEKDAY(O4,2)=2,$CS$2,IF(WEEKDAY(O4,2)=3,$CS$3,IF(WEEKDAY(O4,2)=4,$CS$4,IF(WEEKDAY(O4,2)=5,$CS$5,IF(WEEKDAY(O4,2)=6,$CS$6,IF(WEEKDAY(O4,2)=7,$CS$7,"ERRO")))))))</f>
        <v>Sexta-Feira</v>
      </c>
      <c r="P5" s="58"/>
      <c r="Q5" s="59"/>
      <c r="R5" s="57" t="str">
        <f t="shared" ref="R5" si="115">IF(WEEKDAY(R4,2)=1,$CS$1,IF(WEEKDAY(R4,2)=2,$CS$2,IF(WEEKDAY(R4,2)=3,$CS$3,IF(WEEKDAY(R4,2)=4,$CS$4,IF(WEEKDAY(R4,2)=5,$CS$5,IF(WEEKDAY(R4,2)=6,$CS$6,IF(WEEKDAY(R4,2)=7,$CS$7,"ERRO")))))))</f>
        <v>Sábado</v>
      </c>
      <c r="S5" s="58"/>
      <c r="T5" s="59"/>
      <c r="U5" s="57" t="str">
        <f t="shared" ref="U5" si="116">IF(WEEKDAY(U4,2)=1,$CS$1,IF(WEEKDAY(U4,2)=2,$CS$2,IF(WEEKDAY(U4,2)=3,$CS$3,IF(WEEKDAY(U4,2)=4,$CS$4,IF(WEEKDAY(U4,2)=5,$CS$5,IF(WEEKDAY(U4,2)=6,$CS$6,IF(WEEKDAY(U4,2)=7,$CS$7,"ERRO")))))))</f>
        <v>Domingo</v>
      </c>
      <c r="V5" s="58"/>
      <c r="W5" s="59"/>
      <c r="X5" s="57" t="str">
        <f t="shared" ref="X5" si="117">IF(WEEKDAY(X4,2)=1,$CS$1,IF(WEEKDAY(X4,2)=2,$CS$2,IF(WEEKDAY(X4,2)=3,$CS$3,IF(WEEKDAY(X4,2)=4,$CS$4,IF(WEEKDAY(X4,2)=5,$CS$5,IF(WEEKDAY(X4,2)=6,$CS$6,IF(WEEKDAY(X4,2)=7,$CS$7,"ERRO")))))))</f>
        <v>Segunda-Feira</v>
      </c>
      <c r="Y5" s="58"/>
      <c r="Z5" s="59"/>
      <c r="AA5" s="57" t="str">
        <f t="shared" ref="AA5" si="118">IF(WEEKDAY(AA4,2)=1,$CS$1,IF(WEEKDAY(AA4,2)=2,$CS$2,IF(WEEKDAY(AA4,2)=3,$CS$3,IF(WEEKDAY(AA4,2)=4,$CS$4,IF(WEEKDAY(AA4,2)=5,$CS$5,IF(WEEKDAY(AA4,2)=6,$CS$6,IF(WEEKDAY(AA4,2)=7,$CS$7,"ERRO")))))))</f>
        <v>Terça-Feira</v>
      </c>
      <c r="AB5" s="58"/>
      <c r="AC5" s="59"/>
      <c r="AD5" s="57" t="str">
        <f t="shared" ref="AD5" si="119">IF(WEEKDAY(AD4,2)=1,$CS$1,IF(WEEKDAY(AD4,2)=2,$CS$2,IF(WEEKDAY(AD4,2)=3,$CS$3,IF(WEEKDAY(AD4,2)=4,$CS$4,IF(WEEKDAY(AD4,2)=5,$CS$5,IF(WEEKDAY(AD4,2)=6,$CS$6,IF(WEEKDAY(AD4,2)=7,$CS$7,"ERRO")))))))</f>
        <v>Quarta-Feira</v>
      </c>
      <c r="AE5" s="58"/>
      <c r="AF5" s="59"/>
      <c r="AG5" s="57" t="str">
        <f t="shared" ref="AG5" si="120">IF(WEEKDAY(AG4,2)=1,$CS$1,IF(WEEKDAY(AG4,2)=2,$CS$2,IF(WEEKDAY(AG4,2)=3,$CS$3,IF(WEEKDAY(AG4,2)=4,$CS$4,IF(WEEKDAY(AG4,2)=5,$CS$5,IF(WEEKDAY(AG4,2)=6,$CS$6,IF(WEEKDAY(AG4,2)=7,$CS$7,"ERRO")))))))</f>
        <v>Quinta-Feira</v>
      </c>
      <c r="AH5" s="58"/>
      <c r="AI5" s="59"/>
      <c r="AJ5" s="57" t="str">
        <f t="shared" ref="AJ5" si="121">IF(WEEKDAY(AJ4,2)=1,$CS$1,IF(WEEKDAY(AJ4,2)=2,$CS$2,IF(WEEKDAY(AJ4,2)=3,$CS$3,IF(WEEKDAY(AJ4,2)=4,$CS$4,IF(WEEKDAY(AJ4,2)=5,$CS$5,IF(WEEKDAY(AJ4,2)=6,$CS$6,IF(WEEKDAY(AJ4,2)=7,$CS$7,"ERRO")))))))</f>
        <v>Sexta-Feira</v>
      </c>
      <c r="AK5" s="58"/>
      <c r="AL5" s="59"/>
      <c r="AM5" s="57" t="str">
        <f t="shared" ref="AM5" si="122">IF(WEEKDAY(AM4,2)=1,$CS$1,IF(WEEKDAY(AM4,2)=2,$CS$2,IF(WEEKDAY(AM4,2)=3,$CS$3,IF(WEEKDAY(AM4,2)=4,$CS$4,IF(WEEKDAY(AM4,2)=5,$CS$5,IF(WEEKDAY(AM4,2)=6,$CS$6,IF(WEEKDAY(AM4,2)=7,$CS$7,"ERRO")))))))</f>
        <v>Sábado</v>
      </c>
      <c r="AN5" s="58"/>
      <c r="AO5" s="59"/>
      <c r="AP5" s="57" t="str">
        <f t="shared" ref="AP5" si="123">IF(WEEKDAY(AP4,2)=1,$CS$1,IF(WEEKDAY(AP4,2)=2,$CS$2,IF(WEEKDAY(AP4,2)=3,$CS$3,IF(WEEKDAY(AP4,2)=4,$CS$4,IF(WEEKDAY(AP4,2)=5,$CS$5,IF(WEEKDAY(AP4,2)=6,$CS$6,IF(WEEKDAY(AP4,2)=7,$CS$7,"ERRO")))))))</f>
        <v>Domingo</v>
      </c>
      <c r="AQ5" s="58"/>
      <c r="AR5" s="59"/>
      <c r="AS5" s="57" t="str">
        <f t="shared" ref="AS5" si="124">IF(WEEKDAY(AS4,2)=1,$CS$1,IF(WEEKDAY(AS4,2)=2,$CS$2,IF(WEEKDAY(AS4,2)=3,$CS$3,IF(WEEKDAY(AS4,2)=4,$CS$4,IF(WEEKDAY(AS4,2)=5,$CS$5,IF(WEEKDAY(AS4,2)=6,$CS$6,IF(WEEKDAY(AS4,2)=7,$CS$7,"ERRO")))))))</f>
        <v>Segunda-Feira</v>
      </c>
      <c r="AT5" s="58"/>
      <c r="AU5" s="59"/>
      <c r="AV5" s="57" t="str">
        <f t="shared" ref="AV5" si="125">IF(WEEKDAY(AV4,2)=1,$CS$1,IF(WEEKDAY(AV4,2)=2,$CS$2,IF(WEEKDAY(AV4,2)=3,$CS$3,IF(WEEKDAY(AV4,2)=4,$CS$4,IF(WEEKDAY(AV4,2)=5,$CS$5,IF(WEEKDAY(AV4,2)=6,$CS$6,IF(WEEKDAY(AV4,2)=7,$CS$7,"ERRO")))))))</f>
        <v>Terça-Feira</v>
      </c>
      <c r="AW5" s="58"/>
      <c r="AX5" s="59"/>
      <c r="AY5" s="57" t="str">
        <f t="shared" ref="AY5" si="126">IF(WEEKDAY(AY4,2)=1,$CS$1,IF(WEEKDAY(AY4,2)=2,$CS$2,IF(WEEKDAY(AY4,2)=3,$CS$3,IF(WEEKDAY(AY4,2)=4,$CS$4,IF(WEEKDAY(AY4,2)=5,$CS$5,IF(WEEKDAY(AY4,2)=6,$CS$6,IF(WEEKDAY(AY4,2)=7,$CS$7,"ERRO")))))))</f>
        <v>Quarta-Feira</v>
      </c>
      <c r="AZ5" s="58"/>
      <c r="BA5" s="59"/>
      <c r="BB5" s="57" t="str">
        <f t="shared" ref="BB5" si="127">IF(WEEKDAY(BB4,2)=1,$CS$1,IF(WEEKDAY(BB4,2)=2,$CS$2,IF(WEEKDAY(BB4,2)=3,$CS$3,IF(WEEKDAY(BB4,2)=4,$CS$4,IF(WEEKDAY(BB4,2)=5,$CS$5,IF(WEEKDAY(BB4,2)=6,$CS$6,IF(WEEKDAY(BB4,2)=7,$CS$7,"ERRO")))))))</f>
        <v>Quinta-Feira</v>
      </c>
      <c r="BC5" s="58"/>
      <c r="BD5" s="59"/>
      <c r="BE5" s="57" t="str">
        <f t="shared" ref="BE5" si="128">IF(WEEKDAY(BE4,2)=1,$CS$1,IF(WEEKDAY(BE4,2)=2,$CS$2,IF(WEEKDAY(BE4,2)=3,$CS$3,IF(WEEKDAY(BE4,2)=4,$CS$4,IF(WEEKDAY(BE4,2)=5,$CS$5,IF(WEEKDAY(BE4,2)=6,$CS$6,IF(WEEKDAY(BE4,2)=7,$CS$7,"ERRO")))))))</f>
        <v>Sexta-Feira</v>
      </c>
      <c r="BF5" s="58"/>
      <c r="BG5" s="59"/>
      <c r="BH5" s="57" t="str">
        <f t="shared" ref="BH5" si="129">IF(WEEKDAY(BH4,2)=1,$CS$1,IF(WEEKDAY(BH4,2)=2,$CS$2,IF(WEEKDAY(BH4,2)=3,$CS$3,IF(WEEKDAY(BH4,2)=4,$CS$4,IF(WEEKDAY(BH4,2)=5,$CS$5,IF(WEEKDAY(BH4,2)=6,$CS$6,IF(WEEKDAY(BH4,2)=7,$CS$7,"ERRO")))))))</f>
        <v>Sábado</v>
      </c>
      <c r="BI5" s="58"/>
      <c r="BJ5" s="59"/>
      <c r="BK5" s="57" t="str">
        <f t="shared" ref="BK5" si="130">IF(WEEKDAY(BK4,2)=1,$CS$1,IF(WEEKDAY(BK4,2)=2,$CS$2,IF(WEEKDAY(BK4,2)=3,$CS$3,IF(WEEKDAY(BK4,2)=4,$CS$4,IF(WEEKDAY(BK4,2)=5,$CS$5,IF(WEEKDAY(BK4,2)=6,$CS$6,IF(WEEKDAY(BK4,2)=7,$CS$7,"ERRO")))))))</f>
        <v>Domingo</v>
      </c>
      <c r="BL5" s="58"/>
      <c r="BM5" s="59"/>
      <c r="BN5" s="57" t="str">
        <f t="shared" ref="BN5" si="131">IF(WEEKDAY(BN4,2)=1,$CS$1,IF(WEEKDAY(BN4,2)=2,$CS$2,IF(WEEKDAY(BN4,2)=3,$CS$3,IF(WEEKDAY(BN4,2)=4,$CS$4,IF(WEEKDAY(BN4,2)=5,$CS$5,IF(WEEKDAY(BN4,2)=6,$CS$6,IF(WEEKDAY(BN4,2)=7,$CS$7,"ERRO")))))))</f>
        <v>Segunda-Feira</v>
      </c>
      <c r="BO5" s="58"/>
      <c r="BP5" s="59"/>
      <c r="BQ5" s="57" t="str">
        <f t="shared" ref="BQ5" si="132">IF(WEEKDAY(BQ4,2)=1,$CS$1,IF(WEEKDAY(BQ4,2)=2,$CS$2,IF(WEEKDAY(BQ4,2)=3,$CS$3,IF(WEEKDAY(BQ4,2)=4,$CS$4,IF(WEEKDAY(BQ4,2)=5,$CS$5,IF(WEEKDAY(BQ4,2)=6,$CS$6,IF(WEEKDAY(BQ4,2)=7,$CS$7,"ERRO")))))))</f>
        <v>Terça-Feira</v>
      </c>
      <c r="BR5" s="58"/>
      <c r="BS5" s="59"/>
      <c r="BT5" s="57" t="str">
        <f t="shared" ref="BT5" si="133">IF(WEEKDAY(BT4,2)=1,$CS$1,IF(WEEKDAY(BT4,2)=2,$CS$2,IF(WEEKDAY(BT4,2)=3,$CS$3,IF(WEEKDAY(BT4,2)=4,$CS$4,IF(WEEKDAY(BT4,2)=5,$CS$5,IF(WEEKDAY(BT4,2)=6,$CS$6,IF(WEEKDAY(BT4,2)=7,$CS$7,"ERRO")))))))</f>
        <v>Quarta-Feira</v>
      </c>
      <c r="BU5" s="58"/>
      <c r="BV5" s="59"/>
      <c r="BW5" s="57" t="str">
        <f t="shared" ref="BW5" si="134">IF(WEEKDAY(BW4,2)=1,$CS$1,IF(WEEKDAY(BW4,2)=2,$CS$2,IF(WEEKDAY(BW4,2)=3,$CS$3,IF(WEEKDAY(BW4,2)=4,$CS$4,IF(WEEKDAY(BW4,2)=5,$CS$5,IF(WEEKDAY(BW4,2)=6,$CS$6,IF(WEEKDAY(BW4,2)=7,$CS$7,"ERRO")))))))</f>
        <v>Quinta-Feira</v>
      </c>
      <c r="BX5" s="58"/>
      <c r="BY5" s="59"/>
      <c r="BZ5" s="57" t="str">
        <f t="shared" ref="BZ5" si="135">IF(WEEKDAY(BZ4,2)=1,$CS$1,IF(WEEKDAY(BZ4,2)=2,$CS$2,IF(WEEKDAY(BZ4,2)=3,$CS$3,IF(WEEKDAY(BZ4,2)=4,$CS$4,IF(WEEKDAY(BZ4,2)=5,$CS$5,IF(WEEKDAY(BZ4,2)=6,$CS$6,IF(WEEKDAY(BZ4,2)=7,$CS$7,"ERRO")))))))</f>
        <v>Sexta-Feira</v>
      </c>
      <c r="CA5" s="58"/>
      <c r="CB5" s="59"/>
      <c r="CC5" s="57" t="str">
        <f t="shared" ref="CC5" si="136">IF(WEEKDAY(CC4,2)=1,$CS$1,IF(WEEKDAY(CC4,2)=2,$CS$2,IF(WEEKDAY(CC4,2)=3,$CS$3,IF(WEEKDAY(CC4,2)=4,$CS$4,IF(WEEKDAY(CC4,2)=5,$CS$5,IF(WEEKDAY(CC4,2)=6,$CS$6,IF(WEEKDAY(CC4,2)=7,$CS$7,"ERRO")))))))</f>
        <v>Sábado</v>
      </c>
      <c r="CD5" s="58"/>
      <c r="CE5" s="59"/>
      <c r="CF5" s="57" t="str">
        <f t="shared" ref="CF5" si="137">IF(WEEKDAY(CF4,2)=1,$CS$1,IF(WEEKDAY(CF4,2)=2,$CS$2,IF(WEEKDAY(CF4,2)=3,$CS$3,IF(WEEKDAY(CF4,2)=4,$CS$4,IF(WEEKDAY(CF4,2)=5,$CS$5,IF(WEEKDAY(CF4,2)=6,$CS$6,IF(WEEKDAY(CF4,2)=7,$CS$7,"ERRO")))))))</f>
        <v>Domingo</v>
      </c>
      <c r="CG5" s="58"/>
      <c r="CH5" s="59"/>
      <c r="CI5" s="57" t="str">
        <f t="shared" ref="CI5" si="138">IF(WEEKDAY(CI4,2)=1,$CS$1,IF(WEEKDAY(CI4,2)=2,$CS$2,IF(WEEKDAY(CI4,2)=3,$CS$3,IF(WEEKDAY(CI4,2)=4,$CS$4,IF(WEEKDAY(CI4,2)=5,$CS$5,IF(WEEKDAY(CI4,2)=6,$CS$6,IF(WEEKDAY(CI4,2)=7,$CS$7,"ERRO")))))))</f>
        <v>Segunda-Feira</v>
      </c>
      <c r="CJ5" s="58"/>
      <c r="CK5" s="59"/>
      <c r="CL5" s="57" t="str">
        <f t="shared" ref="CL5" si="139">IF(WEEKDAY(CL4,2)=1,$CS$1,IF(WEEKDAY(CL4,2)=2,$CS$2,IF(WEEKDAY(CL4,2)=3,$CS$3,IF(WEEKDAY(CL4,2)=4,$CS$4,IF(WEEKDAY(CL4,2)=5,$CS$5,IF(WEEKDAY(CL4,2)=6,$CS$6,IF(WEEKDAY(CL4,2)=7,$CS$7,"ERRO")))))))</f>
        <v>Terça-Feira</v>
      </c>
      <c r="CM5" s="58"/>
      <c r="CN5" s="59"/>
      <c r="CO5" s="57" t="str">
        <f t="shared" ref="CO5" si="140">IF(WEEKDAY(CO4,2)=1,$CS$1,IF(WEEKDAY(CO4,2)=2,$CS$2,IF(WEEKDAY(CO4,2)=3,$CS$3,IF(WEEKDAY(CO4,2)=4,$CS$4,IF(WEEKDAY(CO4,2)=5,$CS$5,IF(WEEKDAY(CO4,2)=6,$CS$6,IF(WEEKDAY(CO4,2)=7,$CS$7,"ERRO")))))))</f>
        <v>Quarta-Feira</v>
      </c>
      <c r="CP5" s="58"/>
      <c r="CQ5" s="59"/>
      <c r="CR5" s="10">
        <v>5</v>
      </c>
      <c r="CS5" s="11" t="s">
        <v>56</v>
      </c>
      <c r="CT5" s="12">
        <v>5</v>
      </c>
      <c r="CU5" s="11" t="s">
        <v>62</v>
      </c>
    </row>
    <row r="6" spans="1:101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10">
        <v>6</v>
      </c>
      <c r="CS6" s="11" t="s">
        <v>57</v>
      </c>
      <c r="CT6" s="12">
        <v>6</v>
      </c>
      <c r="CU6" s="11" t="s">
        <v>64</v>
      </c>
    </row>
    <row r="7" spans="1:101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10">
        <v>7</v>
      </c>
      <c r="CS7" s="11" t="s">
        <v>58</v>
      </c>
      <c r="CT7" s="12">
        <v>7</v>
      </c>
      <c r="CU7" s="11" t="s">
        <v>65</v>
      </c>
    </row>
    <row r="8" spans="1:101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10"/>
      <c r="CT8" s="12">
        <v>8</v>
      </c>
      <c r="CU8" s="11" t="s">
        <v>66</v>
      </c>
    </row>
    <row r="9" spans="1:101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T9" s="12">
        <v>9</v>
      </c>
      <c r="CU9" s="11" t="s">
        <v>67</v>
      </c>
    </row>
    <row r="10" spans="1:101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T10" s="12">
        <v>10</v>
      </c>
      <c r="CU10" s="11" t="s">
        <v>68</v>
      </c>
    </row>
    <row r="11" spans="1:101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T11" s="12">
        <v>11</v>
      </c>
      <c r="CU11" s="11" t="s">
        <v>69</v>
      </c>
    </row>
    <row r="12" spans="1:101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T12" s="12">
        <v>12</v>
      </c>
      <c r="CU12" s="11" t="s">
        <v>70</v>
      </c>
    </row>
    <row r="13" spans="1:101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T13" s="12"/>
    </row>
    <row r="14" spans="1:101" ht="16.5" thickBot="1" x14ac:dyDescent="0.3">
      <c r="A14" s="13" t="str">
        <f>A7</f>
        <v>HPLC.0034</v>
      </c>
      <c r="B14" s="6" t="s">
        <v>71</v>
      </c>
      <c r="C14" s="18" t="e">
        <f ca="1">HLOOKUP(TODAY(),$F$4:$CQ$12,4,FALSE)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1" x14ac:dyDescent="0.25">
      <c r="B15" s="6" t="s">
        <v>72</v>
      </c>
      <c r="C15" s="18" t="e">
        <f ca="1">HLOOKUP(TODAY(),$F$4:$CQ$12,5,FALSE)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1" x14ac:dyDescent="0.25">
      <c r="A16" s="13" t="str">
        <f>A8</f>
        <v>HPLC.0035</v>
      </c>
      <c r="B16" s="6" t="s">
        <v>71</v>
      </c>
      <c r="C16" s="18" t="e">
        <f ca="1">HLOOKUP(TODAY(),$F$4:$CQ$12,6,FALSE)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HLOOKUP(TODAY(),$F$4:$CQ$12,7,FALSE)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HLOOKUP(TODAY(),$F$4:$CQ$12,8,FALSE)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HLOOKUP(TODAY(),$F$4:$CQ$12,9,FALSE)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HLOOKUP(TODAY(),$F$4:$CQ$12,10,FALSE)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HLOOKUP(TODAY(),$F$4:$CQ$12,11,FALSE)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HLOOKUP(TODAY(),$F$4:$CQ$12,12,FALSE)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HLOOKUP(TODAY(),$F$4:$CQ$12,13,FALSE)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HLOOKUP(TODAY(),$F$4:$CQ$12,14,FALSE)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HLOOKUP(TODAY(),$F$4:$CQ$12,15,FALSE)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6" si="141">COUNTIF($F$7:$CQ$7,$G36)</f>
        <v>0</v>
      </c>
      <c r="I36" s="18">
        <f t="shared" ref="I36:I46" si="142">COUNTIF($F$8:$CQ$8,$G36)</f>
        <v>0</v>
      </c>
      <c r="J36" s="18">
        <f t="shared" ref="J36:J46" si="143">COUNTIF($F$9:$CQ$9,$G36)</f>
        <v>0</v>
      </c>
      <c r="K36" s="18">
        <f t="shared" ref="K36:K46" si="144">COUNTIF($F$10:$CQ$10,$G36)</f>
        <v>0</v>
      </c>
      <c r="L36" s="18">
        <f t="shared" ref="L36:L46" si="145">COUNTIF($F$11:$CQ$11,$G36)</f>
        <v>0</v>
      </c>
      <c r="M36" s="18">
        <f t="shared" ref="M36:M46" si="146">COUNTIF($F$12:$CQ$12,$G36)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1"/>
        <v>0</v>
      </c>
      <c r="I37" s="18">
        <f t="shared" si="142"/>
        <v>0</v>
      </c>
      <c r="J37" s="18">
        <f t="shared" si="143"/>
        <v>0</v>
      </c>
      <c r="K37" s="18">
        <f t="shared" si="144"/>
        <v>0</v>
      </c>
      <c r="L37" s="18">
        <f t="shared" si="145"/>
        <v>0</v>
      </c>
      <c r="M37" s="18">
        <f t="shared" si="146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1"/>
        <v>0</v>
      </c>
      <c r="I38" s="18">
        <f t="shared" si="142"/>
        <v>0</v>
      </c>
      <c r="J38" s="18">
        <f t="shared" si="143"/>
        <v>0</v>
      </c>
      <c r="K38" s="18">
        <f t="shared" si="144"/>
        <v>0</v>
      </c>
      <c r="L38" s="18">
        <f t="shared" si="145"/>
        <v>0</v>
      </c>
      <c r="M38" s="18">
        <f t="shared" si="146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1"/>
        <v>0</v>
      </c>
      <c r="I39" s="18">
        <f t="shared" si="142"/>
        <v>0</v>
      </c>
      <c r="J39" s="18">
        <f t="shared" si="143"/>
        <v>0</v>
      </c>
      <c r="K39" s="18">
        <f t="shared" si="144"/>
        <v>0</v>
      </c>
      <c r="L39" s="18">
        <f t="shared" si="145"/>
        <v>0</v>
      </c>
      <c r="M39" s="18">
        <f t="shared" si="146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1"/>
        <v>0</v>
      </c>
      <c r="I40" s="18">
        <f t="shared" si="142"/>
        <v>0</v>
      </c>
      <c r="J40" s="18">
        <f t="shared" si="143"/>
        <v>0</v>
      </c>
      <c r="K40" s="18">
        <f t="shared" si="144"/>
        <v>0</v>
      </c>
      <c r="L40" s="18">
        <f t="shared" si="145"/>
        <v>0</v>
      </c>
      <c r="M40" s="18">
        <f t="shared" si="146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1"/>
        <v>0</v>
      </c>
      <c r="I41" s="18">
        <f t="shared" si="142"/>
        <v>0</v>
      </c>
      <c r="J41" s="18">
        <f t="shared" si="143"/>
        <v>0</v>
      </c>
      <c r="K41" s="18">
        <f t="shared" si="144"/>
        <v>0</v>
      </c>
      <c r="L41" s="18">
        <f t="shared" si="145"/>
        <v>0</v>
      </c>
      <c r="M41" s="18">
        <f t="shared" si="146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1"/>
        <v>0</v>
      </c>
      <c r="I42" s="18">
        <f t="shared" si="142"/>
        <v>0</v>
      </c>
      <c r="J42" s="18">
        <f t="shared" si="143"/>
        <v>0</v>
      </c>
      <c r="K42" s="18">
        <f t="shared" si="144"/>
        <v>0</v>
      </c>
      <c r="L42" s="18">
        <f t="shared" si="145"/>
        <v>0</v>
      </c>
      <c r="M42" s="18">
        <f t="shared" si="146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1"/>
        <v>0</v>
      </c>
      <c r="I43" s="18">
        <f t="shared" si="142"/>
        <v>0</v>
      </c>
      <c r="J43" s="18">
        <f t="shared" si="143"/>
        <v>0</v>
      </c>
      <c r="K43" s="18">
        <f t="shared" si="144"/>
        <v>0</v>
      </c>
      <c r="L43" s="18">
        <f t="shared" si="145"/>
        <v>0</v>
      </c>
      <c r="M43" s="18">
        <f t="shared" si="146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1"/>
        <v>0</v>
      </c>
      <c r="I44" s="18">
        <f t="shared" si="142"/>
        <v>0</v>
      </c>
      <c r="J44" s="18">
        <f t="shared" si="143"/>
        <v>0</v>
      </c>
      <c r="K44" s="18">
        <f t="shared" si="144"/>
        <v>0</v>
      </c>
      <c r="L44" s="18">
        <f t="shared" si="145"/>
        <v>0</v>
      </c>
      <c r="M44" s="18">
        <f t="shared" si="146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 t="shared" si="141"/>
        <v>0</v>
      </c>
      <c r="I45" s="18">
        <f t="shared" si="142"/>
        <v>0</v>
      </c>
      <c r="J45" s="18">
        <f t="shared" si="143"/>
        <v>0</v>
      </c>
      <c r="K45" s="18">
        <f t="shared" si="144"/>
        <v>0</v>
      </c>
      <c r="L45" s="18">
        <f t="shared" si="145"/>
        <v>0</v>
      </c>
      <c r="M45" s="18">
        <f t="shared" si="146"/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 t="shared" si="141"/>
        <v>0</v>
      </c>
      <c r="I46" s="18">
        <f t="shared" si="142"/>
        <v>0</v>
      </c>
      <c r="J46" s="18">
        <f t="shared" si="143"/>
        <v>0</v>
      </c>
      <c r="K46" s="18">
        <f t="shared" si="144"/>
        <v>0</v>
      </c>
      <c r="L46" s="18">
        <f t="shared" si="145"/>
        <v>0</v>
      </c>
      <c r="M46" s="18">
        <f t="shared" si="146"/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47">H35</f>
        <v>HPLC.0034</v>
      </c>
      <c r="I47" s="21" t="str">
        <f t="shared" si="147"/>
        <v>HPLC.0035</v>
      </c>
      <c r="J47" s="21" t="str">
        <f t="shared" si="147"/>
        <v>HPLC.0036</v>
      </c>
      <c r="K47" s="21" t="str">
        <f t="shared" si="147"/>
        <v>HPLC.0037</v>
      </c>
      <c r="L47" s="21" t="str">
        <f t="shared" si="147"/>
        <v>HPLC.0045</v>
      </c>
      <c r="M47" s="21" t="str">
        <f t="shared" si="147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48">SUM(H36:H37,H39:H44)</f>
        <v>0</v>
      </c>
      <c r="I48" s="24">
        <f t="shared" si="148"/>
        <v>0</v>
      </c>
      <c r="J48" s="24">
        <f t="shared" si="148"/>
        <v>0</v>
      </c>
      <c r="K48" s="24">
        <f t="shared" si="148"/>
        <v>0</v>
      </c>
      <c r="L48" s="24">
        <f t="shared" si="148"/>
        <v>0</v>
      </c>
      <c r="M48" s="24">
        <f t="shared" si="148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49">SUM(H38,H45:H46)</f>
        <v>0</v>
      </c>
      <c r="I49" s="24">
        <f t="shared" si="149"/>
        <v>0</v>
      </c>
      <c r="J49" s="24">
        <f t="shared" si="149"/>
        <v>0</v>
      </c>
      <c r="K49" s="24">
        <f t="shared" si="149"/>
        <v>0</v>
      </c>
      <c r="L49" s="24">
        <f t="shared" si="149"/>
        <v>0</v>
      </c>
      <c r="M49" s="24">
        <f t="shared" si="149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0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0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0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0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0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0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0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0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0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0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0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3">
    <mergeCell ref="CF5:CH5"/>
    <mergeCell ref="CI5:CK5"/>
    <mergeCell ref="CL5:CN5"/>
    <mergeCell ref="CO5:CQ5"/>
    <mergeCell ref="P14:AP14"/>
    <mergeCell ref="AR14:BD14"/>
    <mergeCell ref="BN5:BP5"/>
    <mergeCell ref="BQ5:BS5"/>
    <mergeCell ref="BT5:BV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AD5:AF5"/>
    <mergeCell ref="AG5:AI5"/>
    <mergeCell ref="AJ5:AL5"/>
    <mergeCell ref="AM5:AO5"/>
    <mergeCell ref="AP5:AR5"/>
    <mergeCell ref="AS5:AU5"/>
    <mergeCell ref="CO4:CQ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E4:BG4"/>
    <mergeCell ref="BH4:BJ4"/>
    <mergeCell ref="BK4:BM4"/>
    <mergeCell ref="BN4:BP4"/>
    <mergeCell ref="BQ4:BS4"/>
    <mergeCell ref="BT4:BV4"/>
    <mergeCell ref="BB4:BD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R4:T4"/>
    <mergeCell ref="A1:E1"/>
    <mergeCell ref="F4:H4"/>
    <mergeCell ref="I4:K4"/>
    <mergeCell ref="L4:N4"/>
    <mergeCell ref="O4:Q4"/>
  </mergeCells>
  <conditionalFormatting sqref="F7:CQ12">
    <cfRule type="expression" dxfId="47" priority="1">
      <formula>IF(F$3="Domingo",TRUE,FALSE)</formula>
    </cfRule>
    <cfRule type="expression" dxfId="46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45" priority="3" operator="equal">
      <formula>#REF!</formula>
    </cfRule>
    <cfRule type="cellIs" dxfId="44" priority="4" operator="equal">
      <formula>$A$60</formula>
    </cfRule>
    <cfRule type="cellIs" dxfId="43" priority="5" operator="equal">
      <formula>$A$67</formula>
    </cfRule>
    <cfRule type="cellIs" dxfId="42" priority="6" operator="equal">
      <formula>$A$66</formula>
    </cfRule>
    <cfRule type="cellIs" dxfId="41" priority="7" operator="equal">
      <formula>$A$65</formula>
    </cfRule>
    <cfRule type="cellIs" dxfId="40" priority="8" operator="equal">
      <formula>$A$64</formula>
    </cfRule>
    <cfRule type="cellIs" dxfId="39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38" priority="10" operator="equal">
      <formula>$A$62</formula>
    </cfRule>
    <cfRule type="cellIs" dxfId="37" priority="11" operator="equal">
      <formula>$A$61</formula>
    </cfRule>
    <cfRule type="cellIs" dxfId="36" priority="12" operator="equal">
      <formula>$A$68</formula>
    </cfRule>
  </conditionalFormatting>
  <dataValidations count="2">
    <dataValidation type="list" allowBlank="1" showInputMessage="1" showErrorMessage="1" sqref="B7:B12">
      <formula1>$B$70:$B$79</formula1>
    </dataValidation>
    <dataValidation type="list" allowBlank="1" showInputMessage="1" showErrorMessage="1" sqref="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zoomScale="80" zoomScaleNormal="80" workbookViewId="0">
      <pane xSplit="5" ySplit="6" topLeftCell="F22" activePane="bottomRight" state="frozen"/>
      <selection activeCell="D53" sqref="D53"/>
      <selection pane="topRight" activeCell="D53" sqref="D53"/>
      <selection pane="bottomLeft" activeCell="D53" sqref="D53"/>
      <selection pane="bottomRight" activeCell="F11" sqref="F11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Outubro/2020 -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Quinta-Feira</v>
      </c>
      <c r="G3" s="18" t="str">
        <f>F5</f>
        <v>Quinta-Feira</v>
      </c>
      <c r="H3" s="18" t="str">
        <f>F5</f>
        <v>Quinta-Feira</v>
      </c>
      <c r="I3" s="18" t="str">
        <f>I5</f>
        <v>Sexta-Feira</v>
      </c>
      <c r="J3" s="6" t="str">
        <f>I5</f>
        <v>Sexta-Feira</v>
      </c>
      <c r="K3" s="6" t="str">
        <f>I5</f>
        <v>Sexta-Feira</v>
      </c>
      <c r="L3" s="6" t="str">
        <f t="shared" ref="L3" si="0">L5</f>
        <v>Sábado</v>
      </c>
      <c r="M3" s="6" t="str">
        <f t="shared" ref="M3" si="1">L5</f>
        <v>Sábado</v>
      </c>
      <c r="N3" s="6" t="str">
        <f t="shared" ref="N3" si="2">L5</f>
        <v>Sábado</v>
      </c>
      <c r="O3" s="6" t="str">
        <f t="shared" ref="O3" si="3">O5</f>
        <v>Domingo</v>
      </c>
      <c r="P3" s="6" t="str">
        <f t="shared" ref="P3" si="4">O5</f>
        <v>Domingo</v>
      </c>
      <c r="Q3" s="6" t="str">
        <f t="shared" ref="Q3" si="5">O5</f>
        <v>Domingo</v>
      </c>
      <c r="R3" s="6" t="str">
        <f t="shared" ref="R3" si="6">R5</f>
        <v>Segunda-Feira</v>
      </c>
      <c r="S3" s="6" t="str">
        <f t="shared" ref="S3" si="7">R5</f>
        <v>Segunda-Feira</v>
      </c>
      <c r="T3" s="6" t="str">
        <f t="shared" ref="T3" si="8">R5</f>
        <v>Segunda-Feira</v>
      </c>
      <c r="U3" s="6" t="str">
        <f t="shared" ref="U3" si="9">U5</f>
        <v>Terça-Feira</v>
      </c>
      <c r="V3" s="6" t="str">
        <f t="shared" ref="V3" si="10">U5</f>
        <v>Terça-Feira</v>
      </c>
      <c r="W3" s="6" t="str">
        <f t="shared" ref="W3" si="11">U5</f>
        <v>Terça-Feira</v>
      </c>
      <c r="X3" s="6" t="str">
        <f t="shared" ref="X3" si="12">X5</f>
        <v>Quarta-Feira</v>
      </c>
      <c r="Y3" s="6" t="str">
        <f t="shared" ref="Y3" si="13">X5</f>
        <v>Quarta-Feira</v>
      </c>
      <c r="Z3" s="6" t="str">
        <f t="shared" ref="Z3" si="14">X5</f>
        <v>Quarta-Feira</v>
      </c>
      <c r="AA3" s="6" t="str">
        <f t="shared" ref="AA3" si="15">AA5</f>
        <v>Quinta-Feira</v>
      </c>
      <c r="AB3" s="6" t="str">
        <f t="shared" ref="AB3" si="16">AA5</f>
        <v>Quinta-Feira</v>
      </c>
      <c r="AC3" s="6" t="str">
        <f t="shared" ref="AC3" si="17">AA5</f>
        <v>Quinta-Feira</v>
      </c>
      <c r="AD3" s="6" t="str">
        <f t="shared" ref="AD3" si="18">AD5</f>
        <v>Sexta-Feira</v>
      </c>
      <c r="AE3" s="6" t="str">
        <f t="shared" ref="AE3" si="19">AD5</f>
        <v>Sexta-Feira</v>
      </c>
      <c r="AF3" s="6" t="str">
        <f t="shared" ref="AF3" si="20">AD5</f>
        <v>Sexta-Feira</v>
      </c>
      <c r="AG3" s="6" t="str">
        <f t="shared" ref="AG3" si="21">AG5</f>
        <v>Sábado</v>
      </c>
      <c r="AH3" s="6" t="str">
        <f t="shared" ref="AH3" si="22">AG5</f>
        <v>Sábado</v>
      </c>
      <c r="AI3" s="6" t="str">
        <f t="shared" ref="AI3" si="23">AG5</f>
        <v>Sábado</v>
      </c>
      <c r="AJ3" s="6" t="str">
        <f t="shared" ref="AJ3" si="24">AJ5</f>
        <v>Domingo</v>
      </c>
      <c r="AK3" s="6" t="str">
        <f t="shared" ref="AK3" si="25">AJ5</f>
        <v>Domingo</v>
      </c>
      <c r="AL3" s="6" t="str">
        <f t="shared" ref="AL3" si="26">AJ5</f>
        <v>Domingo</v>
      </c>
      <c r="AM3" s="6" t="str">
        <f t="shared" ref="AM3" si="27">AM5</f>
        <v>Segunda-Feira</v>
      </c>
      <c r="AN3" s="6" t="str">
        <f t="shared" ref="AN3" si="28">AM5</f>
        <v>Segunda-Feira</v>
      </c>
      <c r="AO3" s="6" t="str">
        <f t="shared" ref="AO3" si="29">AM5</f>
        <v>Segunda-Feira</v>
      </c>
      <c r="AP3" s="6" t="str">
        <f t="shared" ref="AP3" si="30">AP5</f>
        <v>Terça-Feira</v>
      </c>
      <c r="AQ3" s="6" t="str">
        <f t="shared" ref="AQ3" si="31">AP5</f>
        <v>Terça-Feira</v>
      </c>
      <c r="AR3" s="6" t="str">
        <f t="shared" ref="AR3" si="32">AP5</f>
        <v>Terça-Feira</v>
      </c>
      <c r="AS3" s="6" t="str">
        <f t="shared" ref="AS3" si="33">AS5</f>
        <v>Quarta-Feira</v>
      </c>
      <c r="AT3" s="6" t="str">
        <f t="shared" ref="AT3" si="34">AS5</f>
        <v>Quarta-Feira</v>
      </c>
      <c r="AU3" s="6" t="str">
        <f t="shared" ref="AU3" si="35">AS5</f>
        <v>Quarta-Feira</v>
      </c>
      <c r="AV3" s="6" t="str">
        <f t="shared" ref="AV3" si="36">AV5</f>
        <v>Quinta-Feira</v>
      </c>
      <c r="AW3" s="6" t="str">
        <f t="shared" ref="AW3" si="37">AV5</f>
        <v>Quinta-Feira</v>
      </c>
      <c r="AX3" s="6" t="str">
        <f t="shared" ref="AX3" si="38">AV5</f>
        <v>Quinta-Feira</v>
      </c>
      <c r="AY3" s="6" t="str">
        <f t="shared" ref="AY3" si="39">AY5</f>
        <v>Sexta-Feira</v>
      </c>
      <c r="AZ3" s="6" t="str">
        <f t="shared" ref="AZ3" si="40">AY5</f>
        <v>Sexta-Feira</v>
      </c>
      <c r="BA3" s="6" t="str">
        <f t="shared" ref="BA3" si="41">AY5</f>
        <v>Sexta-Feira</v>
      </c>
      <c r="BB3" s="6" t="str">
        <f t="shared" ref="BB3" si="42">BB5</f>
        <v>Sábado</v>
      </c>
      <c r="BC3" s="6" t="str">
        <f t="shared" ref="BC3" si="43">BB5</f>
        <v>Sábado</v>
      </c>
      <c r="BD3" s="6" t="str">
        <f t="shared" ref="BD3" si="44">BB5</f>
        <v>Sábado</v>
      </c>
      <c r="BE3" s="6" t="str">
        <f t="shared" ref="BE3" si="45">BE5</f>
        <v>Domingo</v>
      </c>
      <c r="BF3" s="6" t="str">
        <f t="shared" ref="BF3" si="46">BE5</f>
        <v>Domingo</v>
      </c>
      <c r="BG3" s="6" t="str">
        <f t="shared" ref="BG3" si="47">BE5</f>
        <v>Domingo</v>
      </c>
      <c r="BH3" s="6" t="str">
        <f t="shared" ref="BH3" si="48">BH5</f>
        <v>Segunda-Feira</v>
      </c>
      <c r="BI3" s="6" t="str">
        <f t="shared" ref="BI3" si="49">BH5</f>
        <v>Segunda-Feira</v>
      </c>
      <c r="BJ3" s="6" t="str">
        <f t="shared" ref="BJ3" si="50">BH5</f>
        <v>Segunda-Feira</v>
      </c>
      <c r="BK3" s="6" t="str">
        <f t="shared" ref="BK3" si="51">BK5</f>
        <v>Terça-Feira</v>
      </c>
      <c r="BL3" s="6" t="str">
        <f t="shared" ref="BL3" si="52">BK5</f>
        <v>Terça-Feira</v>
      </c>
      <c r="BM3" s="6" t="str">
        <f t="shared" ref="BM3" si="53">BK5</f>
        <v>Terça-Feira</v>
      </c>
      <c r="BN3" s="6" t="str">
        <f t="shared" ref="BN3" si="54">BN5</f>
        <v>Quarta-Feira</v>
      </c>
      <c r="BO3" s="6" t="str">
        <f t="shared" ref="BO3" si="55">BN5</f>
        <v>Quarta-Feira</v>
      </c>
      <c r="BP3" s="6" t="str">
        <f t="shared" ref="BP3" si="56">BN5</f>
        <v>Quarta-Feira</v>
      </c>
      <c r="BQ3" s="6" t="str">
        <f t="shared" ref="BQ3" si="57">BQ5</f>
        <v>Quinta-Feira</v>
      </c>
      <c r="BR3" s="6" t="str">
        <f t="shared" ref="BR3" si="58">BQ5</f>
        <v>Quinta-Feira</v>
      </c>
      <c r="BS3" s="6" t="str">
        <f t="shared" ref="BS3" si="59">BQ5</f>
        <v>Quinta-Feira</v>
      </c>
      <c r="BT3" s="6" t="str">
        <f t="shared" ref="BT3" si="60">BT5</f>
        <v>Sexta-Feira</v>
      </c>
      <c r="BU3" s="6" t="str">
        <f t="shared" ref="BU3" si="61">BT5</f>
        <v>Sexta-Feira</v>
      </c>
      <c r="BV3" s="6" t="str">
        <f t="shared" ref="BV3" si="62">BT5</f>
        <v>Sexta-Feira</v>
      </c>
      <c r="BW3" s="6" t="str">
        <f t="shared" ref="BW3" si="63">BW5</f>
        <v>Sábado</v>
      </c>
      <c r="BX3" s="6" t="str">
        <f t="shared" ref="BX3" si="64">BW5</f>
        <v>Sábado</v>
      </c>
      <c r="BY3" s="6" t="str">
        <f t="shared" ref="BY3" si="65">BW5</f>
        <v>Sábado</v>
      </c>
      <c r="BZ3" s="6" t="str">
        <f t="shared" ref="BZ3" si="66">BZ5</f>
        <v>Domingo</v>
      </c>
      <c r="CA3" s="6" t="str">
        <f t="shared" ref="CA3" si="67">BZ5</f>
        <v>Domingo</v>
      </c>
      <c r="CB3" s="6" t="str">
        <f t="shared" ref="CB3" si="68">BZ5</f>
        <v>Domingo</v>
      </c>
      <c r="CC3" s="6" t="str">
        <f t="shared" ref="CC3" si="69">CC5</f>
        <v>Segunda-Feira</v>
      </c>
      <c r="CD3" s="6" t="str">
        <f t="shared" ref="CD3" si="70">CC5</f>
        <v>Segunda-Feira</v>
      </c>
      <c r="CE3" s="6" t="str">
        <f t="shared" ref="CE3" si="71">CC5</f>
        <v>Segunda-Feira</v>
      </c>
      <c r="CF3" s="6" t="str">
        <f t="shared" ref="CF3" si="72">CF5</f>
        <v>Terça-Feira</v>
      </c>
      <c r="CG3" s="6" t="str">
        <f t="shared" ref="CG3" si="73">CF5</f>
        <v>Terça-Feira</v>
      </c>
      <c r="CH3" s="6" t="str">
        <f t="shared" ref="CH3" si="74">CF5</f>
        <v>Terça-Feira</v>
      </c>
      <c r="CI3" s="6" t="str">
        <f t="shared" ref="CI3" si="75">CI5</f>
        <v>Quarta-Feira</v>
      </c>
      <c r="CJ3" s="6" t="str">
        <f t="shared" ref="CJ3" si="76">CI5</f>
        <v>Quarta-Feira</v>
      </c>
      <c r="CK3" s="6" t="str">
        <f t="shared" ref="CK3" si="77">CI5</f>
        <v>Quarta-Feira</v>
      </c>
      <c r="CL3" s="6" t="str">
        <f t="shared" ref="CL3" si="78">CL5</f>
        <v>Quinta-Feira</v>
      </c>
      <c r="CM3" s="6" t="str">
        <f t="shared" ref="CM3" si="79">CL5</f>
        <v>Quinta-Feira</v>
      </c>
      <c r="CN3" s="6" t="str">
        <f t="shared" ref="CN3" si="80">CL5</f>
        <v>Quinta-Feira</v>
      </c>
      <c r="CO3" s="6" t="str">
        <f t="shared" ref="CO3" si="81">CO5</f>
        <v>Sexta-Feira</v>
      </c>
      <c r="CP3" s="6" t="str">
        <f t="shared" ref="CP3" si="82">CO5</f>
        <v>Sexta-Feira</v>
      </c>
      <c r="CQ3" s="6" t="str">
        <f t="shared" ref="CQ3" si="83">CO5</f>
        <v>Sexta-Feira</v>
      </c>
      <c r="CR3" s="6" t="str">
        <f t="shared" ref="CR3" si="84">CR5</f>
        <v>Sábado</v>
      </c>
      <c r="CS3" s="6" t="str">
        <f t="shared" ref="CS3" si="85">CR5</f>
        <v>Sábado</v>
      </c>
      <c r="CT3" s="6" t="str">
        <f t="shared" ref="CT3" si="86">CR5</f>
        <v>Sábado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44105</v>
      </c>
      <c r="G4" s="66"/>
      <c r="H4" s="67"/>
      <c r="I4" s="65">
        <f>F4+1</f>
        <v>44106</v>
      </c>
      <c r="J4" s="66"/>
      <c r="K4" s="67"/>
      <c r="L4" s="65">
        <f t="shared" ref="L4" si="87">I4+1</f>
        <v>44107</v>
      </c>
      <c r="M4" s="66"/>
      <c r="N4" s="67"/>
      <c r="O4" s="65">
        <f t="shared" ref="O4" si="88">L4+1</f>
        <v>44108</v>
      </c>
      <c r="P4" s="66"/>
      <c r="Q4" s="67"/>
      <c r="R4" s="65">
        <f t="shared" ref="R4" si="89">O4+1</f>
        <v>44109</v>
      </c>
      <c r="S4" s="66"/>
      <c r="T4" s="67"/>
      <c r="U4" s="65">
        <f t="shared" ref="U4" si="90">R4+1</f>
        <v>44110</v>
      </c>
      <c r="V4" s="66"/>
      <c r="W4" s="67"/>
      <c r="X4" s="65">
        <f t="shared" ref="X4" si="91">U4+1</f>
        <v>44111</v>
      </c>
      <c r="Y4" s="66"/>
      <c r="Z4" s="67"/>
      <c r="AA4" s="65">
        <f t="shared" ref="AA4" si="92">X4+1</f>
        <v>44112</v>
      </c>
      <c r="AB4" s="66"/>
      <c r="AC4" s="67"/>
      <c r="AD4" s="65">
        <f t="shared" ref="AD4" si="93">AA4+1</f>
        <v>44113</v>
      </c>
      <c r="AE4" s="66"/>
      <c r="AF4" s="67"/>
      <c r="AG4" s="65">
        <f t="shared" ref="AG4" si="94">AD4+1</f>
        <v>44114</v>
      </c>
      <c r="AH4" s="66"/>
      <c r="AI4" s="67"/>
      <c r="AJ4" s="65">
        <f t="shared" ref="AJ4" si="95">AG4+1</f>
        <v>44115</v>
      </c>
      <c r="AK4" s="66"/>
      <c r="AL4" s="67"/>
      <c r="AM4" s="65">
        <f t="shared" ref="AM4" si="96">AJ4+1</f>
        <v>44116</v>
      </c>
      <c r="AN4" s="66"/>
      <c r="AO4" s="67"/>
      <c r="AP4" s="65">
        <f t="shared" ref="AP4" si="97">AM4+1</f>
        <v>44117</v>
      </c>
      <c r="AQ4" s="66"/>
      <c r="AR4" s="67"/>
      <c r="AS4" s="65">
        <f t="shared" ref="AS4" si="98">AP4+1</f>
        <v>44118</v>
      </c>
      <c r="AT4" s="66"/>
      <c r="AU4" s="67"/>
      <c r="AV4" s="65">
        <f t="shared" ref="AV4" si="99">AS4+1</f>
        <v>44119</v>
      </c>
      <c r="AW4" s="66"/>
      <c r="AX4" s="67"/>
      <c r="AY4" s="65">
        <f t="shared" ref="AY4" si="100">AV4+1</f>
        <v>44120</v>
      </c>
      <c r="AZ4" s="66"/>
      <c r="BA4" s="67"/>
      <c r="BB4" s="65">
        <f t="shared" ref="BB4" si="101">AY4+1</f>
        <v>44121</v>
      </c>
      <c r="BC4" s="66"/>
      <c r="BD4" s="67"/>
      <c r="BE4" s="65">
        <f t="shared" ref="BE4" si="102">BB4+1</f>
        <v>44122</v>
      </c>
      <c r="BF4" s="66"/>
      <c r="BG4" s="67"/>
      <c r="BH4" s="65">
        <f t="shared" ref="BH4" si="103">BE4+1</f>
        <v>44123</v>
      </c>
      <c r="BI4" s="66"/>
      <c r="BJ4" s="67"/>
      <c r="BK4" s="65">
        <f t="shared" ref="BK4" si="104">BH4+1</f>
        <v>44124</v>
      </c>
      <c r="BL4" s="66"/>
      <c r="BM4" s="67"/>
      <c r="BN4" s="65">
        <f t="shared" ref="BN4" si="105">BK4+1</f>
        <v>44125</v>
      </c>
      <c r="BO4" s="66"/>
      <c r="BP4" s="67"/>
      <c r="BQ4" s="65">
        <f t="shared" ref="BQ4" si="106">BN4+1</f>
        <v>44126</v>
      </c>
      <c r="BR4" s="66"/>
      <c r="BS4" s="67"/>
      <c r="BT4" s="65">
        <f t="shared" ref="BT4" si="107">BQ4+1</f>
        <v>44127</v>
      </c>
      <c r="BU4" s="66"/>
      <c r="BV4" s="67"/>
      <c r="BW4" s="65">
        <f t="shared" ref="BW4" si="108">BT4+1</f>
        <v>44128</v>
      </c>
      <c r="BX4" s="66"/>
      <c r="BY4" s="67"/>
      <c r="BZ4" s="65">
        <f t="shared" ref="BZ4" si="109">BW4+1</f>
        <v>44129</v>
      </c>
      <c r="CA4" s="66"/>
      <c r="CB4" s="67"/>
      <c r="CC4" s="65">
        <f t="shared" ref="CC4" si="110">BZ4+1</f>
        <v>44130</v>
      </c>
      <c r="CD4" s="66"/>
      <c r="CE4" s="67"/>
      <c r="CF4" s="65">
        <f t="shared" ref="CF4" si="111">CC4+1</f>
        <v>44131</v>
      </c>
      <c r="CG4" s="66"/>
      <c r="CH4" s="67"/>
      <c r="CI4" s="65">
        <f t="shared" ref="CI4" si="112">CF4+1</f>
        <v>44132</v>
      </c>
      <c r="CJ4" s="66"/>
      <c r="CK4" s="67"/>
      <c r="CL4" s="65">
        <f t="shared" ref="CL4" si="113">CI4+1</f>
        <v>44133</v>
      </c>
      <c r="CM4" s="66"/>
      <c r="CN4" s="67"/>
      <c r="CO4" s="65">
        <f t="shared" ref="CO4" si="114">CL4+1</f>
        <v>44134</v>
      </c>
      <c r="CP4" s="66"/>
      <c r="CQ4" s="67"/>
      <c r="CR4" s="65">
        <f t="shared" ref="CR4" si="115">CO4+1</f>
        <v>44135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Quinta-Feira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Sexta-Feira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Sábado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Domingo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Segunda-Feira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Terça-Feira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Quarta-Feira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Quinta-Feira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Sexta-Feira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Sábado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Domingo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Segunda-Feira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Terça-Feira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Quarta-Feira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Quinta-Feira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Sexta-Feira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Sábado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Domingo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Segunda-Feira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Terça-Feira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Quarta-Feira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Quinta-Feira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Sexta-Feira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Sábado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Domingo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Segunda-Feira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Terça-Feira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Quarta-Feira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Quinta-Feira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Sexta-Feira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Sábado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e">
        <f ca="1">HLOOKUP(TODAY(),$F$4:$CT$12,4,FALSE)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e">
        <f ca="1">HLOOKUP(TODAY(),$F$4:$CT$12,5,FALSE)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e">
        <f ca="1">HLOOKUP(TODAY(),$F$4:$CT$12,6,FALSE)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HLOOKUP(TODAY(),$F$4:$CT$12,7,FALSE)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HLOOKUP(TODAY(),$F$4:$CT$12,8,FALSE)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HLOOKUP(TODAY(),$F$4:$CT$12,9,FALSE)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0</v>
      </c>
      <c r="I36" s="18">
        <f t="shared" ref="I36:I44" si="147">COUNTIF($F$8:$CT$8,$G36)</f>
        <v>0</v>
      </c>
      <c r="J36" s="18">
        <f t="shared" ref="J36:J44" si="148">COUNTIF($F$9:$CT$9,$G36)</f>
        <v>0</v>
      </c>
      <c r="K36" s="18">
        <f t="shared" ref="K36:K44" si="149">COUNTIF($F$10:$CT$10,$G36)</f>
        <v>0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0</v>
      </c>
      <c r="I37" s="18">
        <f t="shared" si="147"/>
        <v>0</v>
      </c>
      <c r="J37" s="18">
        <f t="shared" si="148"/>
        <v>0</v>
      </c>
      <c r="K37" s="18">
        <f t="shared" si="149"/>
        <v>0</v>
      </c>
      <c r="L37" s="18">
        <f t="shared" si="150"/>
        <v>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0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0</v>
      </c>
      <c r="I46" s="18">
        <f>COUNTIF($F$8:$CT$8,$G46)</f>
        <v>0</v>
      </c>
      <c r="J46" s="18">
        <f>COUNTIF($F$9:$CT$9,$G46)</f>
        <v>0</v>
      </c>
      <c r="K46" s="18">
        <f>COUNTIF($F$10:$CT$10,$G46)</f>
        <v>0</v>
      </c>
      <c r="L46" s="18">
        <f>COUNTIF($F$11:$CT$11,$G46)</f>
        <v>0</v>
      </c>
      <c r="M46" s="18">
        <f>COUNTIF($F$12:$CT$12,$G46)</f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0</v>
      </c>
      <c r="I48" s="24">
        <f t="shared" si="153"/>
        <v>0</v>
      </c>
      <c r="J48" s="24">
        <f t="shared" si="153"/>
        <v>0</v>
      </c>
      <c r="K48" s="24">
        <f t="shared" si="153"/>
        <v>0</v>
      </c>
      <c r="L48" s="24">
        <f t="shared" si="153"/>
        <v>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0</v>
      </c>
      <c r="I49" s="24">
        <f t="shared" si="154"/>
        <v>0</v>
      </c>
      <c r="J49" s="24">
        <f t="shared" si="154"/>
        <v>0</v>
      </c>
      <c r="K49" s="24">
        <f t="shared" si="154"/>
        <v>0</v>
      </c>
      <c r="L49" s="24">
        <f t="shared" si="154"/>
        <v>0</v>
      </c>
      <c r="M49" s="24">
        <f t="shared" si="15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CF5:CH5"/>
    <mergeCell ref="CI5:CK5"/>
    <mergeCell ref="CL5:CN5"/>
    <mergeCell ref="CO5:CQ5"/>
    <mergeCell ref="CR5:CT5"/>
    <mergeCell ref="P14:AP14"/>
    <mergeCell ref="AR14:BD14"/>
    <mergeCell ref="BN5:BP5"/>
    <mergeCell ref="BQ5:BS5"/>
    <mergeCell ref="BT5:BV5"/>
    <mergeCell ref="AD5:AF5"/>
    <mergeCell ref="AG5:AI5"/>
    <mergeCell ref="AJ5:AL5"/>
    <mergeCell ref="AM5:AO5"/>
    <mergeCell ref="AP5:AR5"/>
    <mergeCell ref="AS5:AU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CO4:CQ4"/>
    <mergeCell ref="CR4:CT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AJ4:AL4"/>
    <mergeCell ref="A1:E1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conditionalFormatting sqref="F7:CT12">
    <cfRule type="expression" dxfId="35" priority="1">
      <formula>IF(F$3="Domingo",TRUE,FALSE)</formula>
    </cfRule>
    <cfRule type="expression" dxfId="34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33" priority="3" operator="equal">
      <formula>#REF!</formula>
    </cfRule>
    <cfRule type="cellIs" dxfId="32" priority="4" operator="equal">
      <formula>$A$60</formula>
    </cfRule>
    <cfRule type="cellIs" dxfId="31" priority="5" operator="equal">
      <formula>$A$67</formula>
    </cfRule>
    <cfRule type="cellIs" dxfId="30" priority="6" operator="equal">
      <formula>$A$66</formula>
    </cfRule>
    <cfRule type="cellIs" dxfId="29" priority="7" operator="equal">
      <formula>$A$65</formula>
    </cfRule>
    <cfRule type="cellIs" dxfId="28" priority="8" operator="equal">
      <formula>$A$64</formula>
    </cfRule>
    <cfRule type="cellIs" dxfId="27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26" priority="10" operator="equal">
      <formula>$A$62</formula>
    </cfRule>
    <cfRule type="cellIs" dxfId="25" priority="11" operator="equal">
      <formula>$A$61</formula>
    </cfRule>
    <cfRule type="cellIs" dxfId="24" priority="12" operator="equal">
      <formula>$A$68</formula>
    </cfRule>
  </conditionalFormatting>
  <dataValidations count="2">
    <dataValidation type="list" allowBlank="1" showInputMessage="1" showErrorMessage="1" sqref="CR7:CR12 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  <dataValidation type="list" allowBlank="1" showInputMessage="1" showErrorMessage="1" sqref="B7:B12">
      <formula1>$B$70:$B$79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B90"/>
  <sheetViews>
    <sheetView zoomScale="80" zoomScaleNormal="80" workbookViewId="0">
      <pane xSplit="5" ySplit="6" topLeftCell="F16" activePane="bottomRight" state="frozen"/>
      <selection activeCell="D53" sqref="D53"/>
      <selection pane="topRight" activeCell="D53" sqref="D53"/>
      <selection pane="bottomLeft" activeCell="D53" sqref="D53"/>
      <selection pane="bottomRight" activeCell="F7" sqref="F7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5" width="16.5703125" style="6" customWidth="1"/>
    <col min="96" max="96" width="9.140625" style="11" hidden="1" customWidth="1"/>
    <col min="97" max="97" width="15.5703125" style="11" hidden="1" customWidth="1"/>
    <col min="98" max="99" width="9.140625" style="11" hidden="1" customWidth="1"/>
    <col min="100" max="100" width="10" style="11" customWidth="1"/>
    <col min="101" max="106" width="9.140625" style="11"/>
    <col min="107" max="16384" width="9.140625" style="6"/>
  </cols>
  <sheetData>
    <row r="1" spans="1:101" ht="21.75" thickBot="1" x14ac:dyDescent="0.3">
      <c r="A1" s="68" t="str">
        <f>"Calendário de uso HPLC -  "&amp;IF(MONTH(F4)=1,CU1,IF(MONTH(F4)=2,CU2,IF(MONTH(F4)=3,CU3,IF(MONTH(F4)=4,CU4,IF(MONTH(F4)=5,CU5,IF(MONTH(F4)=6,CU6,IF(MONTH(F4)=7,CU7,IF(MONTH(F4)=8,CU8,IF(MONTH(F4)=9,CU9,IF(MONTH(F4)=10,CU10,IF(MONTH(F4)=11,CU11,IF(MONTH(F4)=12,CU12,"NA")))))))))))) &amp; "/" &amp; YEAR(F4) &amp; " - Equipe MP"</f>
        <v>Calendário de uso HPLC -  Novembro/2020 -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R1" s="10">
        <v>1</v>
      </c>
      <c r="CS1" s="11" t="s">
        <v>53</v>
      </c>
      <c r="CT1" s="12">
        <v>1</v>
      </c>
      <c r="CU1" s="11" t="s">
        <v>60</v>
      </c>
    </row>
    <row r="2" spans="1:101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R2" s="10">
        <v>2</v>
      </c>
      <c r="CS2" s="11" t="s">
        <v>75</v>
      </c>
      <c r="CT2" s="12">
        <v>2</v>
      </c>
      <c r="CU2" s="11" t="s">
        <v>76</v>
      </c>
    </row>
    <row r="3" spans="1:101" ht="15.75" hidden="1" thickBot="1" x14ac:dyDescent="0.3">
      <c r="F3" s="18" t="str">
        <f>F5</f>
        <v>Domingo</v>
      </c>
      <c r="G3" s="18" t="str">
        <f>F5</f>
        <v>Domingo</v>
      </c>
      <c r="H3" s="18" t="str">
        <f>F5</f>
        <v>Domingo</v>
      </c>
      <c r="I3" s="18" t="str">
        <f>I5</f>
        <v>Segunda-Feira</v>
      </c>
      <c r="J3" s="6" t="str">
        <f>I5</f>
        <v>Segunda-Feira</v>
      </c>
      <c r="K3" s="6" t="str">
        <f>I5</f>
        <v>Segunda-Feira</v>
      </c>
      <c r="L3" s="6" t="str">
        <f t="shared" ref="L3" si="0">L5</f>
        <v>Terça-Feira</v>
      </c>
      <c r="M3" s="6" t="str">
        <f t="shared" ref="M3" si="1">L5</f>
        <v>Terça-Feira</v>
      </c>
      <c r="N3" s="6" t="str">
        <f t="shared" ref="N3" si="2">L5</f>
        <v>Terça-Feira</v>
      </c>
      <c r="O3" s="6" t="str">
        <f t="shared" ref="O3" si="3">O5</f>
        <v>Quarta-Feira</v>
      </c>
      <c r="P3" s="6" t="str">
        <f t="shared" ref="P3" si="4">O5</f>
        <v>Quarta-Feira</v>
      </c>
      <c r="Q3" s="6" t="str">
        <f t="shared" ref="Q3" si="5">O5</f>
        <v>Quarta-Feira</v>
      </c>
      <c r="R3" s="6" t="str">
        <f t="shared" ref="R3" si="6">R5</f>
        <v>Quinta-Feira</v>
      </c>
      <c r="S3" s="6" t="str">
        <f t="shared" ref="S3" si="7">R5</f>
        <v>Quinta-Feira</v>
      </c>
      <c r="T3" s="6" t="str">
        <f t="shared" ref="T3" si="8">R5</f>
        <v>Quinta-Feira</v>
      </c>
      <c r="U3" s="6" t="str">
        <f t="shared" ref="U3" si="9">U5</f>
        <v>Sexta-Feira</v>
      </c>
      <c r="V3" s="6" t="str">
        <f t="shared" ref="V3" si="10">U5</f>
        <v>Sexta-Feira</v>
      </c>
      <c r="W3" s="6" t="str">
        <f t="shared" ref="W3" si="11">U5</f>
        <v>Sexta-Feira</v>
      </c>
      <c r="X3" s="6" t="str">
        <f t="shared" ref="X3" si="12">X5</f>
        <v>Sábado</v>
      </c>
      <c r="Y3" s="6" t="str">
        <f t="shared" ref="Y3" si="13">X5</f>
        <v>Sábado</v>
      </c>
      <c r="Z3" s="6" t="str">
        <f t="shared" ref="Z3" si="14">X5</f>
        <v>Sábado</v>
      </c>
      <c r="AA3" s="6" t="str">
        <f t="shared" ref="AA3" si="15">AA5</f>
        <v>Domingo</v>
      </c>
      <c r="AB3" s="6" t="str">
        <f t="shared" ref="AB3" si="16">AA5</f>
        <v>Domingo</v>
      </c>
      <c r="AC3" s="6" t="str">
        <f t="shared" ref="AC3" si="17">AA5</f>
        <v>Domingo</v>
      </c>
      <c r="AD3" s="6" t="str">
        <f t="shared" ref="AD3" si="18">AD5</f>
        <v>Segunda-Feira</v>
      </c>
      <c r="AE3" s="6" t="str">
        <f t="shared" ref="AE3" si="19">AD5</f>
        <v>Segunda-Feira</v>
      </c>
      <c r="AF3" s="6" t="str">
        <f t="shared" ref="AF3" si="20">AD5</f>
        <v>Segunda-Feira</v>
      </c>
      <c r="AG3" s="6" t="str">
        <f t="shared" ref="AG3" si="21">AG5</f>
        <v>Terça-Feira</v>
      </c>
      <c r="AH3" s="6" t="str">
        <f t="shared" ref="AH3" si="22">AG5</f>
        <v>Terça-Feira</v>
      </c>
      <c r="AI3" s="6" t="str">
        <f t="shared" ref="AI3" si="23">AG5</f>
        <v>Terça-Feira</v>
      </c>
      <c r="AJ3" s="6" t="str">
        <f t="shared" ref="AJ3" si="24">AJ5</f>
        <v>Quarta-Feira</v>
      </c>
      <c r="AK3" s="6" t="str">
        <f t="shared" ref="AK3" si="25">AJ5</f>
        <v>Quarta-Feira</v>
      </c>
      <c r="AL3" s="6" t="str">
        <f t="shared" ref="AL3" si="26">AJ5</f>
        <v>Quarta-Feira</v>
      </c>
      <c r="AM3" s="6" t="str">
        <f t="shared" ref="AM3" si="27">AM5</f>
        <v>Quinta-Feira</v>
      </c>
      <c r="AN3" s="6" t="str">
        <f t="shared" ref="AN3" si="28">AM5</f>
        <v>Quinta-Feira</v>
      </c>
      <c r="AO3" s="6" t="str">
        <f t="shared" ref="AO3" si="29">AM5</f>
        <v>Quinta-Feira</v>
      </c>
      <c r="AP3" s="6" t="str">
        <f t="shared" ref="AP3" si="30">AP5</f>
        <v>Sexta-Feira</v>
      </c>
      <c r="AQ3" s="6" t="str">
        <f t="shared" ref="AQ3" si="31">AP5</f>
        <v>Sexta-Feira</v>
      </c>
      <c r="AR3" s="6" t="str">
        <f t="shared" ref="AR3" si="32">AP5</f>
        <v>Sexta-Feira</v>
      </c>
      <c r="AS3" s="6" t="str">
        <f t="shared" ref="AS3" si="33">AS5</f>
        <v>Sábado</v>
      </c>
      <c r="AT3" s="6" t="str">
        <f t="shared" ref="AT3" si="34">AS5</f>
        <v>Sábado</v>
      </c>
      <c r="AU3" s="6" t="str">
        <f t="shared" ref="AU3" si="35">AS5</f>
        <v>Sábado</v>
      </c>
      <c r="AV3" s="6" t="str">
        <f t="shared" ref="AV3" si="36">AV5</f>
        <v>Domingo</v>
      </c>
      <c r="AW3" s="6" t="str">
        <f t="shared" ref="AW3" si="37">AV5</f>
        <v>Domingo</v>
      </c>
      <c r="AX3" s="6" t="str">
        <f t="shared" ref="AX3" si="38">AV5</f>
        <v>Domingo</v>
      </c>
      <c r="AY3" s="6" t="str">
        <f t="shared" ref="AY3" si="39">AY5</f>
        <v>Segunda-Feira</v>
      </c>
      <c r="AZ3" s="6" t="str">
        <f t="shared" ref="AZ3" si="40">AY5</f>
        <v>Segunda-Feira</v>
      </c>
      <c r="BA3" s="6" t="str">
        <f t="shared" ref="BA3" si="41">AY5</f>
        <v>Segunda-Feira</v>
      </c>
      <c r="BB3" s="6" t="str">
        <f t="shared" ref="BB3" si="42">BB5</f>
        <v>Terça-Feira</v>
      </c>
      <c r="BC3" s="6" t="str">
        <f t="shared" ref="BC3" si="43">BB5</f>
        <v>Terça-Feira</v>
      </c>
      <c r="BD3" s="6" t="str">
        <f t="shared" ref="BD3" si="44">BB5</f>
        <v>Terça-Feira</v>
      </c>
      <c r="BE3" s="6" t="str">
        <f t="shared" ref="BE3" si="45">BE5</f>
        <v>Quarta-Feira</v>
      </c>
      <c r="BF3" s="6" t="str">
        <f t="shared" ref="BF3" si="46">BE5</f>
        <v>Quarta-Feira</v>
      </c>
      <c r="BG3" s="6" t="str">
        <f t="shared" ref="BG3" si="47">BE5</f>
        <v>Quarta-Feira</v>
      </c>
      <c r="BH3" s="6" t="str">
        <f t="shared" ref="BH3" si="48">BH5</f>
        <v>Quinta-Feira</v>
      </c>
      <c r="BI3" s="6" t="str">
        <f t="shared" ref="BI3" si="49">BH5</f>
        <v>Quinta-Feira</v>
      </c>
      <c r="BJ3" s="6" t="str">
        <f t="shared" ref="BJ3" si="50">BH5</f>
        <v>Quinta-Feira</v>
      </c>
      <c r="BK3" s="6" t="str">
        <f t="shared" ref="BK3" si="51">BK5</f>
        <v>Sexta-Feira</v>
      </c>
      <c r="BL3" s="6" t="str">
        <f t="shared" ref="BL3" si="52">BK5</f>
        <v>Sexta-Feira</v>
      </c>
      <c r="BM3" s="6" t="str">
        <f t="shared" ref="BM3" si="53">BK5</f>
        <v>Sexta-Feira</v>
      </c>
      <c r="BN3" s="6" t="str">
        <f t="shared" ref="BN3" si="54">BN5</f>
        <v>Sábado</v>
      </c>
      <c r="BO3" s="6" t="str">
        <f t="shared" ref="BO3" si="55">BN5</f>
        <v>Sábado</v>
      </c>
      <c r="BP3" s="6" t="str">
        <f t="shared" ref="BP3" si="56">BN5</f>
        <v>Sábado</v>
      </c>
      <c r="BQ3" s="6" t="str">
        <f t="shared" ref="BQ3" si="57">BQ5</f>
        <v>Domingo</v>
      </c>
      <c r="BR3" s="6" t="str">
        <f t="shared" ref="BR3" si="58">BQ5</f>
        <v>Domingo</v>
      </c>
      <c r="BS3" s="6" t="str">
        <f t="shared" ref="BS3" si="59">BQ5</f>
        <v>Domingo</v>
      </c>
      <c r="BT3" s="6" t="str">
        <f t="shared" ref="BT3" si="60">BT5</f>
        <v>Segunda-Feira</v>
      </c>
      <c r="BU3" s="6" t="str">
        <f t="shared" ref="BU3" si="61">BT5</f>
        <v>Segunda-Feira</v>
      </c>
      <c r="BV3" s="6" t="str">
        <f t="shared" ref="BV3" si="62">BT5</f>
        <v>Segunda-Feira</v>
      </c>
      <c r="BW3" s="6" t="str">
        <f t="shared" ref="BW3" si="63">BW5</f>
        <v>Terça-Feira</v>
      </c>
      <c r="BX3" s="6" t="str">
        <f t="shared" ref="BX3" si="64">BW5</f>
        <v>Terça-Feira</v>
      </c>
      <c r="BY3" s="6" t="str">
        <f t="shared" ref="BY3" si="65">BW5</f>
        <v>Terça-Feira</v>
      </c>
      <c r="BZ3" s="6" t="str">
        <f t="shared" ref="BZ3" si="66">BZ5</f>
        <v>Quarta-Feira</v>
      </c>
      <c r="CA3" s="6" t="str">
        <f t="shared" ref="CA3" si="67">BZ5</f>
        <v>Quarta-Feira</v>
      </c>
      <c r="CB3" s="6" t="str">
        <f t="shared" ref="CB3" si="68">BZ5</f>
        <v>Quarta-Feira</v>
      </c>
      <c r="CC3" s="6" t="str">
        <f t="shared" ref="CC3" si="69">CC5</f>
        <v>Quinta-Feira</v>
      </c>
      <c r="CD3" s="6" t="str">
        <f t="shared" ref="CD3" si="70">CC5</f>
        <v>Quinta-Feira</v>
      </c>
      <c r="CE3" s="6" t="str">
        <f t="shared" ref="CE3" si="71">CC5</f>
        <v>Quinta-Feira</v>
      </c>
      <c r="CF3" s="6" t="str">
        <f t="shared" ref="CF3" si="72">CF5</f>
        <v>Sexta-Feira</v>
      </c>
      <c r="CG3" s="6" t="str">
        <f t="shared" ref="CG3" si="73">CF5</f>
        <v>Sexta-Feira</v>
      </c>
      <c r="CH3" s="6" t="str">
        <f t="shared" ref="CH3" si="74">CF5</f>
        <v>Sexta-Feira</v>
      </c>
      <c r="CI3" s="6" t="str">
        <f t="shared" ref="CI3" si="75">CI5</f>
        <v>Sábado</v>
      </c>
      <c r="CJ3" s="6" t="str">
        <f t="shared" ref="CJ3" si="76">CI5</f>
        <v>Sábado</v>
      </c>
      <c r="CK3" s="6" t="str">
        <f t="shared" ref="CK3" si="77">CI5</f>
        <v>Sábado</v>
      </c>
      <c r="CL3" s="6" t="str">
        <f t="shared" ref="CL3" si="78">CL5</f>
        <v>Domingo</v>
      </c>
      <c r="CM3" s="6" t="str">
        <f t="shared" ref="CM3" si="79">CL5</f>
        <v>Domingo</v>
      </c>
      <c r="CN3" s="6" t="str">
        <f t="shared" ref="CN3" si="80">CL5</f>
        <v>Domingo</v>
      </c>
      <c r="CO3" s="6" t="str">
        <f t="shared" ref="CO3" si="81">CO5</f>
        <v>Segunda-Feira</v>
      </c>
      <c r="CP3" s="6" t="str">
        <f t="shared" ref="CP3" si="82">CO5</f>
        <v>Segunda-Feira</v>
      </c>
      <c r="CQ3" s="6" t="str">
        <f t="shared" ref="CQ3" si="83">CO5</f>
        <v>Segunda-Feira</v>
      </c>
      <c r="CR3" s="10">
        <v>3</v>
      </c>
      <c r="CS3" s="11" t="s">
        <v>54</v>
      </c>
      <c r="CT3" s="12">
        <v>3</v>
      </c>
      <c r="CU3" s="11" t="s">
        <v>61</v>
      </c>
      <c r="CV3" s="6"/>
      <c r="CW3" s="6"/>
    </row>
    <row r="4" spans="1:101" x14ac:dyDescent="0.25">
      <c r="F4" s="65">
        <v>44136</v>
      </c>
      <c r="G4" s="66"/>
      <c r="H4" s="67"/>
      <c r="I4" s="65">
        <f>F4+1</f>
        <v>44137</v>
      </c>
      <c r="J4" s="66"/>
      <c r="K4" s="67"/>
      <c r="L4" s="65">
        <f t="shared" ref="L4" si="84">I4+1</f>
        <v>44138</v>
      </c>
      <c r="M4" s="66"/>
      <c r="N4" s="67"/>
      <c r="O4" s="65">
        <f t="shared" ref="O4" si="85">L4+1</f>
        <v>44139</v>
      </c>
      <c r="P4" s="66"/>
      <c r="Q4" s="67"/>
      <c r="R4" s="65">
        <f t="shared" ref="R4" si="86">O4+1</f>
        <v>44140</v>
      </c>
      <c r="S4" s="66"/>
      <c r="T4" s="67"/>
      <c r="U4" s="65">
        <f t="shared" ref="U4" si="87">R4+1</f>
        <v>44141</v>
      </c>
      <c r="V4" s="66"/>
      <c r="W4" s="67"/>
      <c r="X4" s="65">
        <f t="shared" ref="X4" si="88">U4+1</f>
        <v>44142</v>
      </c>
      <c r="Y4" s="66"/>
      <c r="Z4" s="67"/>
      <c r="AA4" s="65">
        <f t="shared" ref="AA4" si="89">X4+1</f>
        <v>44143</v>
      </c>
      <c r="AB4" s="66"/>
      <c r="AC4" s="67"/>
      <c r="AD4" s="65">
        <f t="shared" ref="AD4" si="90">AA4+1</f>
        <v>44144</v>
      </c>
      <c r="AE4" s="66"/>
      <c r="AF4" s="67"/>
      <c r="AG4" s="65">
        <f t="shared" ref="AG4" si="91">AD4+1</f>
        <v>44145</v>
      </c>
      <c r="AH4" s="66"/>
      <c r="AI4" s="67"/>
      <c r="AJ4" s="65">
        <f t="shared" ref="AJ4" si="92">AG4+1</f>
        <v>44146</v>
      </c>
      <c r="AK4" s="66"/>
      <c r="AL4" s="67"/>
      <c r="AM4" s="65">
        <f t="shared" ref="AM4" si="93">AJ4+1</f>
        <v>44147</v>
      </c>
      <c r="AN4" s="66"/>
      <c r="AO4" s="67"/>
      <c r="AP4" s="65">
        <f t="shared" ref="AP4" si="94">AM4+1</f>
        <v>44148</v>
      </c>
      <c r="AQ4" s="66"/>
      <c r="AR4" s="67"/>
      <c r="AS4" s="65">
        <f t="shared" ref="AS4" si="95">AP4+1</f>
        <v>44149</v>
      </c>
      <c r="AT4" s="66"/>
      <c r="AU4" s="67"/>
      <c r="AV4" s="65">
        <f t="shared" ref="AV4" si="96">AS4+1</f>
        <v>44150</v>
      </c>
      <c r="AW4" s="66"/>
      <c r="AX4" s="67"/>
      <c r="AY4" s="65">
        <f t="shared" ref="AY4" si="97">AV4+1</f>
        <v>44151</v>
      </c>
      <c r="AZ4" s="66"/>
      <c r="BA4" s="67"/>
      <c r="BB4" s="65">
        <f t="shared" ref="BB4" si="98">AY4+1</f>
        <v>44152</v>
      </c>
      <c r="BC4" s="66"/>
      <c r="BD4" s="67"/>
      <c r="BE4" s="65">
        <f t="shared" ref="BE4" si="99">BB4+1</f>
        <v>44153</v>
      </c>
      <c r="BF4" s="66"/>
      <c r="BG4" s="67"/>
      <c r="BH4" s="65">
        <f t="shared" ref="BH4" si="100">BE4+1</f>
        <v>44154</v>
      </c>
      <c r="BI4" s="66"/>
      <c r="BJ4" s="67"/>
      <c r="BK4" s="65">
        <f t="shared" ref="BK4" si="101">BH4+1</f>
        <v>44155</v>
      </c>
      <c r="BL4" s="66"/>
      <c r="BM4" s="67"/>
      <c r="BN4" s="65">
        <f t="shared" ref="BN4" si="102">BK4+1</f>
        <v>44156</v>
      </c>
      <c r="BO4" s="66"/>
      <c r="BP4" s="67"/>
      <c r="BQ4" s="65">
        <f t="shared" ref="BQ4" si="103">BN4+1</f>
        <v>44157</v>
      </c>
      <c r="BR4" s="66"/>
      <c r="BS4" s="67"/>
      <c r="BT4" s="65">
        <f t="shared" ref="BT4" si="104">BQ4+1</f>
        <v>44158</v>
      </c>
      <c r="BU4" s="66"/>
      <c r="BV4" s="67"/>
      <c r="BW4" s="65">
        <f t="shared" ref="BW4" si="105">BT4+1</f>
        <v>44159</v>
      </c>
      <c r="BX4" s="66"/>
      <c r="BY4" s="67"/>
      <c r="BZ4" s="65">
        <f t="shared" ref="BZ4" si="106">BW4+1</f>
        <v>44160</v>
      </c>
      <c r="CA4" s="66"/>
      <c r="CB4" s="67"/>
      <c r="CC4" s="65">
        <f t="shared" ref="CC4" si="107">BZ4+1</f>
        <v>44161</v>
      </c>
      <c r="CD4" s="66"/>
      <c r="CE4" s="67"/>
      <c r="CF4" s="65">
        <f t="shared" ref="CF4" si="108">CC4+1</f>
        <v>44162</v>
      </c>
      <c r="CG4" s="66"/>
      <c r="CH4" s="67"/>
      <c r="CI4" s="65">
        <f t="shared" ref="CI4" si="109">CF4+1</f>
        <v>44163</v>
      </c>
      <c r="CJ4" s="66"/>
      <c r="CK4" s="67"/>
      <c r="CL4" s="65">
        <f t="shared" ref="CL4" si="110">CI4+1</f>
        <v>44164</v>
      </c>
      <c r="CM4" s="66"/>
      <c r="CN4" s="67"/>
      <c r="CO4" s="65">
        <f t="shared" ref="CO4" si="111">CL4+1</f>
        <v>44165</v>
      </c>
      <c r="CP4" s="66"/>
      <c r="CQ4" s="67"/>
      <c r="CR4" s="10">
        <v>4</v>
      </c>
      <c r="CS4" s="11" t="s">
        <v>55</v>
      </c>
      <c r="CT4" s="12">
        <v>4</v>
      </c>
      <c r="CU4" s="11" t="s">
        <v>63</v>
      </c>
    </row>
    <row r="5" spans="1:101" ht="15.75" thickBot="1" x14ac:dyDescent="0.3">
      <c r="A5" s="13"/>
      <c r="F5" s="57" t="str">
        <f>IF(WEEKDAY(F4,2)=1,$CS$1,IF(WEEKDAY(F4,2)=2,$CS$2,IF(WEEKDAY(F4,2)=3,$CS$3,IF(WEEKDAY(F4,2)=4,$CS$4,IF(WEEKDAY(F4,2)=5,$CS$5,IF(WEEKDAY(F4,2)=6,$CS$6,IF(WEEKDAY(F4,2)=7,$CS$7,"ERRO")))))))</f>
        <v>Domingo</v>
      </c>
      <c r="G5" s="58"/>
      <c r="H5" s="59"/>
      <c r="I5" s="57" t="str">
        <f t="shared" ref="I5" si="112">IF(WEEKDAY(I4,2)=1,$CS$1,IF(WEEKDAY(I4,2)=2,$CS$2,IF(WEEKDAY(I4,2)=3,$CS$3,IF(WEEKDAY(I4,2)=4,$CS$4,IF(WEEKDAY(I4,2)=5,$CS$5,IF(WEEKDAY(I4,2)=6,$CS$6,IF(WEEKDAY(I4,2)=7,$CS$7,"ERRO")))))))</f>
        <v>Segunda-Feira</v>
      </c>
      <c r="J5" s="58"/>
      <c r="K5" s="59"/>
      <c r="L5" s="57" t="str">
        <f t="shared" ref="L5" si="113">IF(WEEKDAY(L4,2)=1,$CS$1,IF(WEEKDAY(L4,2)=2,$CS$2,IF(WEEKDAY(L4,2)=3,$CS$3,IF(WEEKDAY(L4,2)=4,$CS$4,IF(WEEKDAY(L4,2)=5,$CS$5,IF(WEEKDAY(L4,2)=6,$CS$6,IF(WEEKDAY(L4,2)=7,$CS$7,"ERRO")))))))</f>
        <v>Terça-Feira</v>
      </c>
      <c r="M5" s="58"/>
      <c r="N5" s="59"/>
      <c r="O5" s="57" t="str">
        <f t="shared" ref="O5" si="114">IF(WEEKDAY(O4,2)=1,$CS$1,IF(WEEKDAY(O4,2)=2,$CS$2,IF(WEEKDAY(O4,2)=3,$CS$3,IF(WEEKDAY(O4,2)=4,$CS$4,IF(WEEKDAY(O4,2)=5,$CS$5,IF(WEEKDAY(O4,2)=6,$CS$6,IF(WEEKDAY(O4,2)=7,$CS$7,"ERRO")))))))</f>
        <v>Quarta-Feira</v>
      </c>
      <c r="P5" s="58"/>
      <c r="Q5" s="59"/>
      <c r="R5" s="57" t="str">
        <f t="shared" ref="R5" si="115">IF(WEEKDAY(R4,2)=1,$CS$1,IF(WEEKDAY(R4,2)=2,$CS$2,IF(WEEKDAY(R4,2)=3,$CS$3,IF(WEEKDAY(R4,2)=4,$CS$4,IF(WEEKDAY(R4,2)=5,$CS$5,IF(WEEKDAY(R4,2)=6,$CS$6,IF(WEEKDAY(R4,2)=7,$CS$7,"ERRO")))))))</f>
        <v>Quinta-Feira</v>
      </c>
      <c r="S5" s="58"/>
      <c r="T5" s="59"/>
      <c r="U5" s="57" t="str">
        <f t="shared" ref="U5" si="116">IF(WEEKDAY(U4,2)=1,$CS$1,IF(WEEKDAY(U4,2)=2,$CS$2,IF(WEEKDAY(U4,2)=3,$CS$3,IF(WEEKDAY(U4,2)=4,$CS$4,IF(WEEKDAY(U4,2)=5,$CS$5,IF(WEEKDAY(U4,2)=6,$CS$6,IF(WEEKDAY(U4,2)=7,$CS$7,"ERRO")))))))</f>
        <v>Sexta-Feira</v>
      </c>
      <c r="V5" s="58"/>
      <c r="W5" s="59"/>
      <c r="X5" s="57" t="str">
        <f t="shared" ref="X5" si="117">IF(WEEKDAY(X4,2)=1,$CS$1,IF(WEEKDAY(X4,2)=2,$CS$2,IF(WEEKDAY(X4,2)=3,$CS$3,IF(WEEKDAY(X4,2)=4,$CS$4,IF(WEEKDAY(X4,2)=5,$CS$5,IF(WEEKDAY(X4,2)=6,$CS$6,IF(WEEKDAY(X4,2)=7,$CS$7,"ERRO")))))))</f>
        <v>Sábado</v>
      </c>
      <c r="Y5" s="58"/>
      <c r="Z5" s="59"/>
      <c r="AA5" s="57" t="str">
        <f t="shared" ref="AA5" si="118">IF(WEEKDAY(AA4,2)=1,$CS$1,IF(WEEKDAY(AA4,2)=2,$CS$2,IF(WEEKDAY(AA4,2)=3,$CS$3,IF(WEEKDAY(AA4,2)=4,$CS$4,IF(WEEKDAY(AA4,2)=5,$CS$5,IF(WEEKDAY(AA4,2)=6,$CS$6,IF(WEEKDAY(AA4,2)=7,$CS$7,"ERRO")))))))</f>
        <v>Domingo</v>
      </c>
      <c r="AB5" s="58"/>
      <c r="AC5" s="59"/>
      <c r="AD5" s="57" t="str">
        <f t="shared" ref="AD5" si="119">IF(WEEKDAY(AD4,2)=1,$CS$1,IF(WEEKDAY(AD4,2)=2,$CS$2,IF(WEEKDAY(AD4,2)=3,$CS$3,IF(WEEKDAY(AD4,2)=4,$CS$4,IF(WEEKDAY(AD4,2)=5,$CS$5,IF(WEEKDAY(AD4,2)=6,$CS$6,IF(WEEKDAY(AD4,2)=7,$CS$7,"ERRO")))))))</f>
        <v>Segunda-Feira</v>
      </c>
      <c r="AE5" s="58"/>
      <c r="AF5" s="59"/>
      <c r="AG5" s="57" t="str">
        <f t="shared" ref="AG5" si="120">IF(WEEKDAY(AG4,2)=1,$CS$1,IF(WEEKDAY(AG4,2)=2,$CS$2,IF(WEEKDAY(AG4,2)=3,$CS$3,IF(WEEKDAY(AG4,2)=4,$CS$4,IF(WEEKDAY(AG4,2)=5,$CS$5,IF(WEEKDAY(AG4,2)=6,$CS$6,IF(WEEKDAY(AG4,2)=7,$CS$7,"ERRO")))))))</f>
        <v>Terça-Feira</v>
      </c>
      <c r="AH5" s="58"/>
      <c r="AI5" s="59"/>
      <c r="AJ5" s="57" t="str">
        <f t="shared" ref="AJ5" si="121">IF(WEEKDAY(AJ4,2)=1,$CS$1,IF(WEEKDAY(AJ4,2)=2,$CS$2,IF(WEEKDAY(AJ4,2)=3,$CS$3,IF(WEEKDAY(AJ4,2)=4,$CS$4,IF(WEEKDAY(AJ4,2)=5,$CS$5,IF(WEEKDAY(AJ4,2)=6,$CS$6,IF(WEEKDAY(AJ4,2)=7,$CS$7,"ERRO")))))))</f>
        <v>Quarta-Feira</v>
      </c>
      <c r="AK5" s="58"/>
      <c r="AL5" s="59"/>
      <c r="AM5" s="57" t="str">
        <f t="shared" ref="AM5" si="122">IF(WEEKDAY(AM4,2)=1,$CS$1,IF(WEEKDAY(AM4,2)=2,$CS$2,IF(WEEKDAY(AM4,2)=3,$CS$3,IF(WEEKDAY(AM4,2)=4,$CS$4,IF(WEEKDAY(AM4,2)=5,$CS$5,IF(WEEKDAY(AM4,2)=6,$CS$6,IF(WEEKDAY(AM4,2)=7,$CS$7,"ERRO")))))))</f>
        <v>Quinta-Feira</v>
      </c>
      <c r="AN5" s="58"/>
      <c r="AO5" s="59"/>
      <c r="AP5" s="57" t="str">
        <f t="shared" ref="AP5" si="123">IF(WEEKDAY(AP4,2)=1,$CS$1,IF(WEEKDAY(AP4,2)=2,$CS$2,IF(WEEKDAY(AP4,2)=3,$CS$3,IF(WEEKDAY(AP4,2)=4,$CS$4,IF(WEEKDAY(AP4,2)=5,$CS$5,IF(WEEKDAY(AP4,2)=6,$CS$6,IF(WEEKDAY(AP4,2)=7,$CS$7,"ERRO")))))))</f>
        <v>Sexta-Feira</v>
      </c>
      <c r="AQ5" s="58"/>
      <c r="AR5" s="59"/>
      <c r="AS5" s="57" t="str">
        <f t="shared" ref="AS5" si="124">IF(WEEKDAY(AS4,2)=1,$CS$1,IF(WEEKDAY(AS4,2)=2,$CS$2,IF(WEEKDAY(AS4,2)=3,$CS$3,IF(WEEKDAY(AS4,2)=4,$CS$4,IF(WEEKDAY(AS4,2)=5,$CS$5,IF(WEEKDAY(AS4,2)=6,$CS$6,IF(WEEKDAY(AS4,2)=7,$CS$7,"ERRO")))))))</f>
        <v>Sábado</v>
      </c>
      <c r="AT5" s="58"/>
      <c r="AU5" s="59"/>
      <c r="AV5" s="57" t="str">
        <f t="shared" ref="AV5" si="125">IF(WEEKDAY(AV4,2)=1,$CS$1,IF(WEEKDAY(AV4,2)=2,$CS$2,IF(WEEKDAY(AV4,2)=3,$CS$3,IF(WEEKDAY(AV4,2)=4,$CS$4,IF(WEEKDAY(AV4,2)=5,$CS$5,IF(WEEKDAY(AV4,2)=6,$CS$6,IF(WEEKDAY(AV4,2)=7,$CS$7,"ERRO")))))))</f>
        <v>Domingo</v>
      </c>
      <c r="AW5" s="58"/>
      <c r="AX5" s="59"/>
      <c r="AY5" s="57" t="str">
        <f t="shared" ref="AY5" si="126">IF(WEEKDAY(AY4,2)=1,$CS$1,IF(WEEKDAY(AY4,2)=2,$CS$2,IF(WEEKDAY(AY4,2)=3,$CS$3,IF(WEEKDAY(AY4,2)=4,$CS$4,IF(WEEKDAY(AY4,2)=5,$CS$5,IF(WEEKDAY(AY4,2)=6,$CS$6,IF(WEEKDAY(AY4,2)=7,$CS$7,"ERRO")))))))</f>
        <v>Segunda-Feira</v>
      </c>
      <c r="AZ5" s="58"/>
      <c r="BA5" s="59"/>
      <c r="BB5" s="57" t="str">
        <f t="shared" ref="BB5" si="127">IF(WEEKDAY(BB4,2)=1,$CS$1,IF(WEEKDAY(BB4,2)=2,$CS$2,IF(WEEKDAY(BB4,2)=3,$CS$3,IF(WEEKDAY(BB4,2)=4,$CS$4,IF(WEEKDAY(BB4,2)=5,$CS$5,IF(WEEKDAY(BB4,2)=6,$CS$6,IF(WEEKDAY(BB4,2)=7,$CS$7,"ERRO")))))))</f>
        <v>Terça-Feira</v>
      </c>
      <c r="BC5" s="58"/>
      <c r="BD5" s="59"/>
      <c r="BE5" s="57" t="str">
        <f t="shared" ref="BE5" si="128">IF(WEEKDAY(BE4,2)=1,$CS$1,IF(WEEKDAY(BE4,2)=2,$CS$2,IF(WEEKDAY(BE4,2)=3,$CS$3,IF(WEEKDAY(BE4,2)=4,$CS$4,IF(WEEKDAY(BE4,2)=5,$CS$5,IF(WEEKDAY(BE4,2)=6,$CS$6,IF(WEEKDAY(BE4,2)=7,$CS$7,"ERRO")))))))</f>
        <v>Quarta-Feira</v>
      </c>
      <c r="BF5" s="58"/>
      <c r="BG5" s="59"/>
      <c r="BH5" s="57" t="str">
        <f t="shared" ref="BH5" si="129">IF(WEEKDAY(BH4,2)=1,$CS$1,IF(WEEKDAY(BH4,2)=2,$CS$2,IF(WEEKDAY(BH4,2)=3,$CS$3,IF(WEEKDAY(BH4,2)=4,$CS$4,IF(WEEKDAY(BH4,2)=5,$CS$5,IF(WEEKDAY(BH4,2)=6,$CS$6,IF(WEEKDAY(BH4,2)=7,$CS$7,"ERRO")))))))</f>
        <v>Quinta-Feira</v>
      </c>
      <c r="BI5" s="58"/>
      <c r="BJ5" s="59"/>
      <c r="BK5" s="57" t="str">
        <f t="shared" ref="BK5" si="130">IF(WEEKDAY(BK4,2)=1,$CS$1,IF(WEEKDAY(BK4,2)=2,$CS$2,IF(WEEKDAY(BK4,2)=3,$CS$3,IF(WEEKDAY(BK4,2)=4,$CS$4,IF(WEEKDAY(BK4,2)=5,$CS$5,IF(WEEKDAY(BK4,2)=6,$CS$6,IF(WEEKDAY(BK4,2)=7,$CS$7,"ERRO")))))))</f>
        <v>Sexta-Feira</v>
      </c>
      <c r="BL5" s="58"/>
      <c r="BM5" s="59"/>
      <c r="BN5" s="57" t="str">
        <f t="shared" ref="BN5" si="131">IF(WEEKDAY(BN4,2)=1,$CS$1,IF(WEEKDAY(BN4,2)=2,$CS$2,IF(WEEKDAY(BN4,2)=3,$CS$3,IF(WEEKDAY(BN4,2)=4,$CS$4,IF(WEEKDAY(BN4,2)=5,$CS$5,IF(WEEKDAY(BN4,2)=6,$CS$6,IF(WEEKDAY(BN4,2)=7,$CS$7,"ERRO")))))))</f>
        <v>Sábado</v>
      </c>
      <c r="BO5" s="58"/>
      <c r="BP5" s="59"/>
      <c r="BQ5" s="57" t="str">
        <f t="shared" ref="BQ5" si="132">IF(WEEKDAY(BQ4,2)=1,$CS$1,IF(WEEKDAY(BQ4,2)=2,$CS$2,IF(WEEKDAY(BQ4,2)=3,$CS$3,IF(WEEKDAY(BQ4,2)=4,$CS$4,IF(WEEKDAY(BQ4,2)=5,$CS$5,IF(WEEKDAY(BQ4,2)=6,$CS$6,IF(WEEKDAY(BQ4,2)=7,$CS$7,"ERRO")))))))</f>
        <v>Domingo</v>
      </c>
      <c r="BR5" s="58"/>
      <c r="BS5" s="59"/>
      <c r="BT5" s="57" t="str">
        <f t="shared" ref="BT5" si="133">IF(WEEKDAY(BT4,2)=1,$CS$1,IF(WEEKDAY(BT4,2)=2,$CS$2,IF(WEEKDAY(BT4,2)=3,$CS$3,IF(WEEKDAY(BT4,2)=4,$CS$4,IF(WEEKDAY(BT4,2)=5,$CS$5,IF(WEEKDAY(BT4,2)=6,$CS$6,IF(WEEKDAY(BT4,2)=7,$CS$7,"ERRO")))))))</f>
        <v>Segunda-Feira</v>
      </c>
      <c r="BU5" s="58"/>
      <c r="BV5" s="59"/>
      <c r="BW5" s="57" t="str">
        <f t="shared" ref="BW5" si="134">IF(WEEKDAY(BW4,2)=1,$CS$1,IF(WEEKDAY(BW4,2)=2,$CS$2,IF(WEEKDAY(BW4,2)=3,$CS$3,IF(WEEKDAY(BW4,2)=4,$CS$4,IF(WEEKDAY(BW4,2)=5,$CS$5,IF(WEEKDAY(BW4,2)=6,$CS$6,IF(WEEKDAY(BW4,2)=7,$CS$7,"ERRO")))))))</f>
        <v>Terça-Feira</v>
      </c>
      <c r="BX5" s="58"/>
      <c r="BY5" s="59"/>
      <c r="BZ5" s="57" t="str">
        <f t="shared" ref="BZ5" si="135">IF(WEEKDAY(BZ4,2)=1,$CS$1,IF(WEEKDAY(BZ4,2)=2,$CS$2,IF(WEEKDAY(BZ4,2)=3,$CS$3,IF(WEEKDAY(BZ4,2)=4,$CS$4,IF(WEEKDAY(BZ4,2)=5,$CS$5,IF(WEEKDAY(BZ4,2)=6,$CS$6,IF(WEEKDAY(BZ4,2)=7,$CS$7,"ERRO")))))))</f>
        <v>Quarta-Feira</v>
      </c>
      <c r="CA5" s="58"/>
      <c r="CB5" s="59"/>
      <c r="CC5" s="57" t="str">
        <f t="shared" ref="CC5" si="136">IF(WEEKDAY(CC4,2)=1,$CS$1,IF(WEEKDAY(CC4,2)=2,$CS$2,IF(WEEKDAY(CC4,2)=3,$CS$3,IF(WEEKDAY(CC4,2)=4,$CS$4,IF(WEEKDAY(CC4,2)=5,$CS$5,IF(WEEKDAY(CC4,2)=6,$CS$6,IF(WEEKDAY(CC4,2)=7,$CS$7,"ERRO")))))))</f>
        <v>Quinta-Feira</v>
      </c>
      <c r="CD5" s="58"/>
      <c r="CE5" s="59"/>
      <c r="CF5" s="57" t="str">
        <f t="shared" ref="CF5" si="137">IF(WEEKDAY(CF4,2)=1,$CS$1,IF(WEEKDAY(CF4,2)=2,$CS$2,IF(WEEKDAY(CF4,2)=3,$CS$3,IF(WEEKDAY(CF4,2)=4,$CS$4,IF(WEEKDAY(CF4,2)=5,$CS$5,IF(WEEKDAY(CF4,2)=6,$CS$6,IF(WEEKDAY(CF4,2)=7,$CS$7,"ERRO")))))))</f>
        <v>Sexta-Feira</v>
      </c>
      <c r="CG5" s="58"/>
      <c r="CH5" s="59"/>
      <c r="CI5" s="57" t="str">
        <f t="shared" ref="CI5" si="138">IF(WEEKDAY(CI4,2)=1,$CS$1,IF(WEEKDAY(CI4,2)=2,$CS$2,IF(WEEKDAY(CI4,2)=3,$CS$3,IF(WEEKDAY(CI4,2)=4,$CS$4,IF(WEEKDAY(CI4,2)=5,$CS$5,IF(WEEKDAY(CI4,2)=6,$CS$6,IF(WEEKDAY(CI4,2)=7,$CS$7,"ERRO")))))))</f>
        <v>Sábado</v>
      </c>
      <c r="CJ5" s="58"/>
      <c r="CK5" s="59"/>
      <c r="CL5" s="57" t="str">
        <f t="shared" ref="CL5" si="139">IF(WEEKDAY(CL4,2)=1,$CS$1,IF(WEEKDAY(CL4,2)=2,$CS$2,IF(WEEKDAY(CL4,2)=3,$CS$3,IF(WEEKDAY(CL4,2)=4,$CS$4,IF(WEEKDAY(CL4,2)=5,$CS$5,IF(WEEKDAY(CL4,2)=6,$CS$6,IF(WEEKDAY(CL4,2)=7,$CS$7,"ERRO")))))))</f>
        <v>Domingo</v>
      </c>
      <c r="CM5" s="58"/>
      <c r="CN5" s="59"/>
      <c r="CO5" s="57" t="str">
        <f t="shared" ref="CO5" si="140">IF(WEEKDAY(CO4,2)=1,$CS$1,IF(WEEKDAY(CO4,2)=2,$CS$2,IF(WEEKDAY(CO4,2)=3,$CS$3,IF(WEEKDAY(CO4,2)=4,$CS$4,IF(WEEKDAY(CO4,2)=5,$CS$5,IF(WEEKDAY(CO4,2)=6,$CS$6,IF(WEEKDAY(CO4,2)=7,$CS$7,"ERRO")))))))</f>
        <v>Segunda-Feira</v>
      </c>
      <c r="CP5" s="58"/>
      <c r="CQ5" s="59"/>
      <c r="CR5" s="10">
        <v>5</v>
      </c>
      <c r="CS5" s="11" t="s">
        <v>56</v>
      </c>
      <c r="CT5" s="12">
        <v>5</v>
      </c>
      <c r="CU5" s="11" t="s">
        <v>62</v>
      </c>
    </row>
    <row r="6" spans="1:101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10">
        <v>6</v>
      </c>
      <c r="CS6" s="11" t="s">
        <v>57</v>
      </c>
      <c r="CT6" s="12">
        <v>6</v>
      </c>
      <c r="CU6" s="11" t="s">
        <v>64</v>
      </c>
    </row>
    <row r="7" spans="1:101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10">
        <v>7</v>
      </c>
      <c r="CS7" s="11" t="s">
        <v>58</v>
      </c>
      <c r="CT7" s="12">
        <v>7</v>
      </c>
      <c r="CU7" s="11" t="s">
        <v>65</v>
      </c>
    </row>
    <row r="8" spans="1:101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10"/>
      <c r="CT8" s="12">
        <v>8</v>
      </c>
      <c r="CU8" s="11" t="s">
        <v>66</v>
      </c>
    </row>
    <row r="9" spans="1:101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T9" s="12">
        <v>9</v>
      </c>
      <c r="CU9" s="11" t="s">
        <v>67</v>
      </c>
    </row>
    <row r="10" spans="1:101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T10" s="12">
        <v>10</v>
      </c>
      <c r="CU10" s="11" t="s">
        <v>68</v>
      </c>
    </row>
    <row r="11" spans="1:101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T11" s="12">
        <v>11</v>
      </c>
      <c r="CU11" s="11" t="s">
        <v>69</v>
      </c>
    </row>
    <row r="12" spans="1:101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T12" s="12">
        <v>12</v>
      </c>
      <c r="CU12" s="11" t="s">
        <v>70</v>
      </c>
    </row>
    <row r="13" spans="1:101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T13" s="12"/>
    </row>
    <row r="14" spans="1:101" ht="16.5" thickBot="1" x14ac:dyDescent="0.3">
      <c r="A14" s="13" t="str">
        <f>A7</f>
        <v>HPLC.0034</v>
      </c>
      <c r="B14" s="6" t="s">
        <v>71</v>
      </c>
      <c r="C14" s="18" t="e">
        <f ca="1">HLOOKUP(TODAY(),$F$4:$CQ$12,4,FALSE)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1" x14ac:dyDescent="0.25">
      <c r="B15" s="6" t="s">
        <v>72</v>
      </c>
      <c r="C15" s="18" t="e">
        <f ca="1">HLOOKUP(TODAY(),$F$4:$CQ$12,5,FALSE)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1" x14ac:dyDescent="0.25">
      <c r="A16" s="13" t="str">
        <f>A8</f>
        <v>HPLC.0035</v>
      </c>
      <c r="B16" s="6" t="s">
        <v>71</v>
      </c>
      <c r="C16" s="18" t="e">
        <f ca="1">HLOOKUP(TODAY(),$F$4:$CQ$12,6,FALSE)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HLOOKUP(TODAY(),$F$4:$CQ$12,7,FALSE)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HLOOKUP(TODAY(),$F$4:$CQ$12,8,FALSE)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HLOOKUP(TODAY(),$F$4:$CQ$12,9,FALSE)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HLOOKUP(TODAY(),$F$4:$CQ$12,10,FALSE)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HLOOKUP(TODAY(),$F$4:$CQ$12,11,FALSE)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HLOOKUP(TODAY(),$F$4:$CQ$12,12,FALSE)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HLOOKUP(TODAY(),$F$4:$CQ$12,13,FALSE)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HLOOKUP(TODAY(),$F$4:$CQ$12,14,FALSE)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HLOOKUP(TODAY(),$F$4:$CQ$12,15,FALSE)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6" si="141">COUNTIF($F$7:$CQ$7,$G36)</f>
        <v>0</v>
      </c>
      <c r="I36" s="18">
        <f t="shared" ref="I36:I46" si="142">COUNTIF($F$8:$CQ$8,$G36)</f>
        <v>0</v>
      </c>
      <c r="J36" s="18">
        <f t="shared" ref="J36:J46" si="143">COUNTIF($F$9:$CQ$9,$G36)</f>
        <v>0</v>
      </c>
      <c r="K36" s="18">
        <f t="shared" ref="K36:K46" si="144">COUNTIF($F$10:$CQ$10,$G36)</f>
        <v>0</v>
      </c>
      <c r="L36" s="18">
        <f t="shared" ref="L36:L46" si="145">COUNTIF($F$11:$CQ$11,$G36)</f>
        <v>0</v>
      </c>
      <c r="M36" s="18">
        <f t="shared" ref="M36:M46" si="146">COUNTIF($F$12:$CQ$12,$G36)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1"/>
        <v>0</v>
      </c>
      <c r="I37" s="18">
        <f t="shared" si="142"/>
        <v>0</v>
      </c>
      <c r="J37" s="18">
        <f t="shared" si="143"/>
        <v>0</v>
      </c>
      <c r="K37" s="18">
        <f t="shared" si="144"/>
        <v>0</v>
      </c>
      <c r="L37" s="18">
        <f t="shared" si="145"/>
        <v>0</v>
      </c>
      <c r="M37" s="18">
        <f t="shared" si="146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1"/>
        <v>0</v>
      </c>
      <c r="I38" s="18">
        <f t="shared" si="142"/>
        <v>0</v>
      </c>
      <c r="J38" s="18">
        <f t="shared" si="143"/>
        <v>0</v>
      </c>
      <c r="K38" s="18">
        <f t="shared" si="144"/>
        <v>0</v>
      </c>
      <c r="L38" s="18">
        <f t="shared" si="145"/>
        <v>0</v>
      </c>
      <c r="M38" s="18">
        <f t="shared" si="146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1"/>
        <v>0</v>
      </c>
      <c r="I39" s="18">
        <f t="shared" si="142"/>
        <v>0</v>
      </c>
      <c r="J39" s="18">
        <f t="shared" si="143"/>
        <v>0</v>
      </c>
      <c r="K39" s="18">
        <f t="shared" si="144"/>
        <v>0</v>
      </c>
      <c r="L39" s="18">
        <f t="shared" si="145"/>
        <v>0</v>
      </c>
      <c r="M39" s="18">
        <f t="shared" si="146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1"/>
        <v>0</v>
      </c>
      <c r="I40" s="18">
        <f t="shared" si="142"/>
        <v>0</v>
      </c>
      <c r="J40" s="18">
        <f t="shared" si="143"/>
        <v>0</v>
      </c>
      <c r="K40" s="18">
        <f t="shared" si="144"/>
        <v>0</v>
      </c>
      <c r="L40" s="18">
        <f t="shared" si="145"/>
        <v>0</v>
      </c>
      <c r="M40" s="18">
        <f t="shared" si="146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1"/>
        <v>0</v>
      </c>
      <c r="I41" s="18">
        <f t="shared" si="142"/>
        <v>0</v>
      </c>
      <c r="J41" s="18">
        <f t="shared" si="143"/>
        <v>0</v>
      </c>
      <c r="K41" s="18">
        <f t="shared" si="144"/>
        <v>0</v>
      </c>
      <c r="L41" s="18">
        <f t="shared" si="145"/>
        <v>0</v>
      </c>
      <c r="M41" s="18">
        <f t="shared" si="146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1"/>
        <v>0</v>
      </c>
      <c r="I42" s="18">
        <f t="shared" si="142"/>
        <v>0</v>
      </c>
      <c r="J42" s="18">
        <f t="shared" si="143"/>
        <v>0</v>
      </c>
      <c r="K42" s="18">
        <f t="shared" si="144"/>
        <v>0</v>
      </c>
      <c r="L42" s="18">
        <f t="shared" si="145"/>
        <v>0</v>
      </c>
      <c r="M42" s="18">
        <f t="shared" si="146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1"/>
        <v>0</v>
      </c>
      <c r="I43" s="18">
        <f t="shared" si="142"/>
        <v>0</v>
      </c>
      <c r="J43" s="18">
        <f t="shared" si="143"/>
        <v>0</v>
      </c>
      <c r="K43" s="18">
        <f t="shared" si="144"/>
        <v>0</v>
      </c>
      <c r="L43" s="18">
        <f t="shared" si="145"/>
        <v>0</v>
      </c>
      <c r="M43" s="18">
        <f t="shared" si="146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1"/>
        <v>0</v>
      </c>
      <c r="I44" s="18">
        <f t="shared" si="142"/>
        <v>0</v>
      </c>
      <c r="J44" s="18">
        <f t="shared" si="143"/>
        <v>0</v>
      </c>
      <c r="K44" s="18">
        <f t="shared" si="144"/>
        <v>0</v>
      </c>
      <c r="L44" s="18">
        <f t="shared" si="145"/>
        <v>0</v>
      </c>
      <c r="M44" s="18">
        <f t="shared" si="146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 t="shared" si="141"/>
        <v>0</v>
      </c>
      <c r="I45" s="18">
        <f t="shared" si="142"/>
        <v>0</v>
      </c>
      <c r="J45" s="18">
        <f t="shared" si="143"/>
        <v>0</v>
      </c>
      <c r="K45" s="18">
        <f t="shared" si="144"/>
        <v>0</v>
      </c>
      <c r="L45" s="18">
        <f t="shared" si="145"/>
        <v>0</v>
      </c>
      <c r="M45" s="18">
        <f t="shared" si="146"/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 t="shared" si="141"/>
        <v>0</v>
      </c>
      <c r="I46" s="18">
        <f t="shared" si="142"/>
        <v>0</v>
      </c>
      <c r="J46" s="18">
        <f t="shared" si="143"/>
        <v>0</v>
      </c>
      <c r="K46" s="18">
        <f t="shared" si="144"/>
        <v>0</v>
      </c>
      <c r="L46" s="18">
        <f t="shared" si="145"/>
        <v>0</v>
      </c>
      <c r="M46" s="18">
        <f t="shared" si="146"/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47">H35</f>
        <v>HPLC.0034</v>
      </c>
      <c r="I47" s="21" t="str">
        <f t="shared" si="147"/>
        <v>HPLC.0035</v>
      </c>
      <c r="J47" s="21" t="str">
        <f t="shared" si="147"/>
        <v>HPLC.0036</v>
      </c>
      <c r="K47" s="21" t="str">
        <f t="shared" si="147"/>
        <v>HPLC.0037</v>
      </c>
      <c r="L47" s="21" t="str">
        <f t="shared" si="147"/>
        <v>HPLC.0045</v>
      </c>
      <c r="M47" s="21" t="str">
        <f t="shared" si="147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48">SUM(H36:H37,H39:H44)</f>
        <v>0</v>
      </c>
      <c r="I48" s="24">
        <f t="shared" si="148"/>
        <v>0</v>
      </c>
      <c r="J48" s="24">
        <f t="shared" si="148"/>
        <v>0</v>
      </c>
      <c r="K48" s="24">
        <f t="shared" si="148"/>
        <v>0</v>
      </c>
      <c r="L48" s="24">
        <f t="shared" si="148"/>
        <v>0</v>
      </c>
      <c r="M48" s="24">
        <f t="shared" si="148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49">SUM(H38,H45:H46)</f>
        <v>0</v>
      </c>
      <c r="I49" s="24">
        <f t="shared" si="149"/>
        <v>0</v>
      </c>
      <c r="J49" s="24">
        <f t="shared" si="149"/>
        <v>0</v>
      </c>
      <c r="K49" s="24">
        <f t="shared" si="149"/>
        <v>0</v>
      </c>
      <c r="L49" s="24">
        <f t="shared" si="149"/>
        <v>0</v>
      </c>
      <c r="M49" s="24">
        <f t="shared" si="149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0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0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0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0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0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0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0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0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0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0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0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3">
    <mergeCell ref="CF5:CH5"/>
    <mergeCell ref="CI5:CK5"/>
    <mergeCell ref="CL5:CN5"/>
    <mergeCell ref="CO5:CQ5"/>
    <mergeCell ref="P14:AP14"/>
    <mergeCell ref="AR14:BD14"/>
    <mergeCell ref="BN5:BP5"/>
    <mergeCell ref="BQ5:BS5"/>
    <mergeCell ref="BT5:BV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AD5:AF5"/>
    <mergeCell ref="AG5:AI5"/>
    <mergeCell ref="AJ5:AL5"/>
    <mergeCell ref="AM5:AO5"/>
    <mergeCell ref="AP5:AR5"/>
    <mergeCell ref="AS5:AU5"/>
    <mergeCell ref="CO4:CQ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E4:BG4"/>
    <mergeCell ref="BH4:BJ4"/>
    <mergeCell ref="BK4:BM4"/>
    <mergeCell ref="BN4:BP4"/>
    <mergeCell ref="BQ4:BS4"/>
    <mergeCell ref="BT4:BV4"/>
    <mergeCell ref="BB4:BD4"/>
    <mergeCell ref="U4:W4"/>
    <mergeCell ref="X4:Z4"/>
    <mergeCell ref="AA4:AC4"/>
    <mergeCell ref="AD4:AF4"/>
    <mergeCell ref="AG4:AI4"/>
    <mergeCell ref="AJ4:AL4"/>
    <mergeCell ref="AM4:AO4"/>
    <mergeCell ref="AP4:AR4"/>
    <mergeCell ref="AS4:AU4"/>
    <mergeCell ref="AV4:AX4"/>
    <mergeCell ref="AY4:BA4"/>
    <mergeCell ref="R4:T4"/>
    <mergeCell ref="A1:E1"/>
    <mergeCell ref="F4:H4"/>
    <mergeCell ref="I4:K4"/>
    <mergeCell ref="L4:N4"/>
    <mergeCell ref="O4:Q4"/>
  </mergeCells>
  <conditionalFormatting sqref="F7:CQ12">
    <cfRule type="expression" dxfId="23" priority="1">
      <formula>IF(F$3="Domingo",TRUE,FALSE)</formula>
    </cfRule>
    <cfRule type="expression" dxfId="22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21" priority="3" operator="equal">
      <formula>#REF!</formula>
    </cfRule>
    <cfRule type="cellIs" dxfId="20" priority="4" operator="equal">
      <formula>$A$60</formula>
    </cfRule>
    <cfRule type="cellIs" dxfId="19" priority="5" operator="equal">
      <formula>$A$67</formula>
    </cfRule>
    <cfRule type="cellIs" dxfId="18" priority="6" operator="equal">
      <formula>$A$66</formula>
    </cfRule>
    <cfRule type="cellIs" dxfId="17" priority="7" operator="equal">
      <formula>$A$65</formula>
    </cfRule>
    <cfRule type="cellIs" dxfId="16" priority="8" operator="equal">
      <formula>$A$64</formula>
    </cfRule>
    <cfRule type="cellIs" dxfId="15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AD7:AD12 X7:X12 AA7:AA12 AG7:AG12">
    <cfRule type="cellIs" dxfId="14" priority="10" operator="equal">
      <formula>$A$62</formula>
    </cfRule>
    <cfRule type="cellIs" dxfId="13" priority="11" operator="equal">
      <formula>$A$61</formula>
    </cfRule>
    <cfRule type="cellIs" dxfId="12" priority="12" operator="equal">
      <formula>$A$68</formula>
    </cfRule>
  </conditionalFormatting>
  <dataValidations count="2">
    <dataValidation type="list" allowBlank="1" showInputMessage="1" showErrorMessage="1" sqref="B7:B12">
      <formula1>$B$70:$B$79</formula1>
    </dataValidation>
    <dataValidation type="list" allowBlank="1" showInputMessage="1" showErrorMessage="1" sqref="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DE90"/>
  <sheetViews>
    <sheetView zoomScale="80" zoomScaleNormal="80" workbookViewId="0">
      <pane xSplit="5" ySplit="6" topLeftCell="F7" activePane="bottomRight" state="frozen"/>
      <selection activeCell="D53" sqref="D53"/>
      <selection pane="topRight" activeCell="D53" sqref="D53"/>
      <selection pane="bottomLeft" activeCell="D53" sqref="D53"/>
      <selection pane="bottomRight" activeCell="U7" sqref="U7:U9"/>
    </sheetView>
  </sheetViews>
  <sheetFormatPr defaultColWidth="9.140625" defaultRowHeight="15" x14ac:dyDescent="0.25"/>
  <cols>
    <col min="1" max="1" width="21.7109375" style="6" customWidth="1"/>
    <col min="2" max="2" width="20.7109375" style="6" bestFit="1" customWidth="1"/>
    <col min="3" max="3" width="16.28515625" style="6" customWidth="1"/>
    <col min="4" max="5" width="11.5703125" style="6" customWidth="1"/>
    <col min="6" max="6" width="15.28515625" style="6" customWidth="1"/>
    <col min="7" max="8" width="16" style="6" customWidth="1"/>
    <col min="9" max="9" width="17.140625" style="6" bestFit="1" customWidth="1"/>
    <col min="10" max="10" width="15.85546875" style="6" customWidth="1"/>
    <col min="11" max="11" width="15.140625" style="6" customWidth="1"/>
    <col min="12" max="12" width="13.140625" style="6" customWidth="1"/>
    <col min="13" max="13" width="13.85546875" style="6" customWidth="1"/>
    <col min="14" max="14" width="16.42578125" style="6" customWidth="1"/>
    <col min="15" max="16" width="16.5703125" style="6" customWidth="1"/>
    <col min="17" max="17" width="18.42578125" style="6" customWidth="1"/>
    <col min="18" max="19" width="16.5703125" style="6" customWidth="1"/>
    <col min="20" max="20" width="18.140625" style="6" customWidth="1"/>
    <col min="21" max="22" width="16.5703125" style="6" customWidth="1"/>
    <col min="23" max="23" width="17.7109375" style="6" customWidth="1"/>
    <col min="24" max="25" width="16.5703125" style="6" customWidth="1"/>
    <col min="26" max="26" width="17.42578125" style="6" customWidth="1"/>
    <col min="27" max="98" width="16.5703125" style="6" customWidth="1"/>
    <col min="99" max="99" width="9.140625" style="11" hidden="1" customWidth="1"/>
    <col min="100" max="100" width="15.5703125" style="11" hidden="1" customWidth="1"/>
    <col min="101" max="102" width="9.140625" style="11" hidden="1" customWidth="1"/>
    <col min="103" max="103" width="10" style="11" customWidth="1"/>
    <col min="104" max="109" width="9.140625" style="11"/>
    <col min="110" max="16384" width="9.140625" style="6"/>
  </cols>
  <sheetData>
    <row r="1" spans="1:104" ht="21.75" thickBot="1" x14ac:dyDescent="0.3">
      <c r="A1" s="68" t="str">
        <f>"Calendário de uso HPLC -  "&amp;IF(MONTH(F4)=1,CX1,IF(MONTH(F4)=2,CX2,IF(MONTH(F4)=3,CX3,IF(MONTH(F4)=4,CX4,IF(MONTH(F4)=5,CX5,IF(MONTH(F4)=6,CX6,IF(MONTH(F4)=7,CX7,IF(MONTH(F4)=8,CX8,IF(MONTH(F4)=9,CX9,IF(MONTH(F4)=10,CX10,IF(MONTH(F4)=11,CX11,IF(MONTH(F4)=12,CX12,"NA")))))))))))) &amp; "/" &amp; YEAR(F4) &amp; " - Equipe MP"</f>
        <v>Calendário de uso HPLC -  Dezembro/2020 - Equipe MP</v>
      </c>
      <c r="B1" s="68"/>
      <c r="C1" s="68"/>
      <c r="D1" s="68"/>
      <c r="E1" s="68"/>
      <c r="F1" s="8"/>
      <c r="G1" s="8"/>
      <c r="H1" s="8"/>
      <c r="I1" s="9"/>
      <c r="J1" s="9"/>
      <c r="K1" s="9"/>
      <c r="L1" s="8"/>
      <c r="M1" s="8"/>
      <c r="N1" s="8"/>
      <c r="CU1" s="10">
        <v>1</v>
      </c>
      <c r="CV1" s="11" t="s">
        <v>53</v>
      </c>
      <c r="CW1" s="12">
        <v>1</v>
      </c>
      <c r="CX1" s="11" t="s">
        <v>60</v>
      </c>
    </row>
    <row r="2" spans="1:104" ht="21.75" thickBot="1" x14ac:dyDescent="0.3">
      <c r="A2"/>
      <c r="B2"/>
      <c r="C2" s="8"/>
      <c r="D2" s="8"/>
      <c r="E2" s="8"/>
      <c r="F2" s="8"/>
      <c r="G2" s="47"/>
      <c r="H2" s="8"/>
      <c r="I2" s="9"/>
      <c r="J2" s="9"/>
      <c r="K2" s="9"/>
      <c r="L2" s="8"/>
      <c r="M2" s="8"/>
      <c r="N2" s="8"/>
      <c r="CU2" s="10">
        <v>2</v>
      </c>
      <c r="CV2" s="11" t="s">
        <v>75</v>
      </c>
      <c r="CW2" s="12">
        <v>2</v>
      </c>
      <c r="CX2" s="11" t="s">
        <v>76</v>
      </c>
    </row>
    <row r="3" spans="1:104" ht="15.75" hidden="1" thickBot="1" x14ac:dyDescent="0.3">
      <c r="F3" s="18" t="str">
        <f>F5</f>
        <v>Terça-Feira</v>
      </c>
      <c r="G3" s="18" t="str">
        <f>F5</f>
        <v>Terça-Feira</v>
      </c>
      <c r="H3" s="18" t="str">
        <f>F5</f>
        <v>Terça-Feira</v>
      </c>
      <c r="I3" s="18" t="str">
        <f>I5</f>
        <v>Quarta-Feira</v>
      </c>
      <c r="J3" s="6" t="str">
        <f>I5</f>
        <v>Quarta-Feira</v>
      </c>
      <c r="K3" s="6" t="str">
        <f>I5</f>
        <v>Quarta-Feira</v>
      </c>
      <c r="L3" s="6" t="str">
        <f t="shared" ref="L3" si="0">L5</f>
        <v>Quinta-Feira</v>
      </c>
      <c r="M3" s="6" t="str">
        <f t="shared" ref="M3" si="1">L5</f>
        <v>Quinta-Feira</v>
      </c>
      <c r="N3" s="6" t="str">
        <f t="shared" ref="N3" si="2">L5</f>
        <v>Quinta-Feira</v>
      </c>
      <c r="O3" s="6" t="str">
        <f t="shared" ref="O3" si="3">O5</f>
        <v>Sexta-Feira</v>
      </c>
      <c r="P3" s="6" t="str">
        <f t="shared" ref="P3" si="4">O5</f>
        <v>Sexta-Feira</v>
      </c>
      <c r="Q3" s="6" t="str">
        <f t="shared" ref="Q3" si="5">O5</f>
        <v>Sexta-Feira</v>
      </c>
      <c r="R3" s="6" t="str">
        <f t="shared" ref="R3" si="6">R5</f>
        <v>Sábado</v>
      </c>
      <c r="S3" s="6" t="str">
        <f t="shared" ref="S3" si="7">R5</f>
        <v>Sábado</v>
      </c>
      <c r="T3" s="6" t="str">
        <f t="shared" ref="T3" si="8">R5</f>
        <v>Sábado</v>
      </c>
      <c r="U3" s="6" t="str">
        <f t="shared" ref="U3" si="9">U5</f>
        <v>Domingo</v>
      </c>
      <c r="V3" s="6" t="str">
        <f t="shared" ref="V3" si="10">U5</f>
        <v>Domingo</v>
      </c>
      <c r="W3" s="6" t="str">
        <f t="shared" ref="W3" si="11">U5</f>
        <v>Domingo</v>
      </c>
      <c r="X3" s="6" t="str">
        <f t="shared" ref="X3" si="12">X5</f>
        <v>Segunda-Feira</v>
      </c>
      <c r="Y3" s="6" t="str">
        <f t="shared" ref="Y3" si="13">X5</f>
        <v>Segunda-Feira</v>
      </c>
      <c r="Z3" s="6" t="str">
        <f t="shared" ref="Z3" si="14">X5</f>
        <v>Segunda-Feira</v>
      </c>
      <c r="AA3" s="6" t="str">
        <f t="shared" ref="AA3" si="15">AA5</f>
        <v>Terça-Feira</v>
      </c>
      <c r="AB3" s="6" t="str">
        <f t="shared" ref="AB3" si="16">AA5</f>
        <v>Terça-Feira</v>
      </c>
      <c r="AC3" s="6" t="str">
        <f t="shared" ref="AC3" si="17">AA5</f>
        <v>Terça-Feira</v>
      </c>
      <c r="AD3" s="6" t="str">
        <f t="shared" ref="AD3" si="18">AD5</f>
        <v>Quarta-Feira</v>
      </c>
      <c r="AE3" s="6" t="str">
        <f t="shared" ref="AE3" si="19">AD5</f>
        <v>Quarta-Feira</v>
      </c>
      <c r="AF3" s="6" t="str">
        <f t="shared" ref="AF3" si="20">AD5</f>
        <v>Quarta-Feira</v>
      </c>
      <c r="AG3" s="6" t="str">
        <f t="shared" ref="AG3" si="21">AG5</f>
        <v>Quinta-Feira</v>
      </c>
      <c r="AH3" s="6" t="str">
        <f t="shared" ref="AH3" si="22">AG5</f>
        <v>Quinta-Feira</v>
      </c>
      <c r="AI3" s="6" t="str">
        <f t="shared" ref="AI3" si="23">AG5</f>
        <v>Quinta-Feira</v>
      </c>
      <c r="AJ3" s="6" t="str">
        <f t="shared" ref="AJ3" si="24">AJ5</f>
        <v>Sexta-Feira</v>
      </c>
      <c r="AK3" s="6" t="str">
        <f t="shared" ref="AK3" si="25">AJ5</f>
        <v>Sexta-Feira</v>
      </c>
      <c r="AL3" s="6" t="str">
        <f t="shared" ref="AL3" si="26">AJ5</f>
        <v>Sexta-Feira</v>
      </c>
      <c r="AM3" s="6" t="str">
        <f t="shared" ref="AM3" si="27">AM5</f>
        <v>Sábado</v>
      </c>
      <c r="AN3" s="6" t="str">
        <f t="shared" ref="AN3" si="28">AM5</f>
        <v>Sábado</v>
      </c>
      <c r="AO3" s="6" t="str">
        <f t="shared" ref="AO3" si="29">AM5</f>
        <v>Sábado</v>
      </c>
      <c r="AP3" s="6" t="str">
        <f t="shared" ref="AP3" si="30">AP5</f>
        <v>Domingo</v>
      </c>
      <c r="AQ3" s="6" t="str">
        <f t="shared" ref="AQ3" si="31">AP5</f>
        <v>Domingo</v>
      </c>
      <c r="AR3" s="6" t="str">
        <f t="shared" ref="AR3" si="32">AP5</f>
        <v>Domingo</v>
      </c>
      <c r="AS3" s="6" t="str">
        <f t="shared" ref="AS3" si="33">AS5</f>
        <v>Segunda-Feira</v>
      </c>
      <c r="AT3" s="6" t="str">
        <f t="shared" ref="AT3" si="34">AS5</f>
        <v>Segunda-Feira</v>
      </c>
      <c r="AU3" s="6" t="str">
        <f t="shared" ref="AU3" si="35">AS5</f>
        <v>Segunda-Feira</v>
      </c>
      <c r="AV3" s="6" t="str">
        <f t="shared" ref="AV3" si="36">AV5</f>
        <v>Terça-Feira</v>
      </c>
      <c r="AW3" s="6" t="str">
        <f t="shared" ref="AW3" si="37">AV5</f>
        <v>Terça-Feira</v>
      </c>
      <c r="AX3" s="6" t="str">
        <f t="shared" ref="AX3" si="38">AV5</f>
        <v>Terça-Feira</v>
      </c>
      <c r="AY3" s="6" t="str">
        <f t="shared" ref="AY3" si="39">AY5</f>
        <v>Quarta-Feira</v>
      </c>
      <c r="AZ3" s="6" t="str">
        <f t="shared" ref="AZ3" si="40">AY5</f>
        <v>Quarta-Feira</v>
      </c>
      <c r="BA3" s="6" t="str">
        <f t="shared" ref="BA3" si="41">AY5</f>
        <v>Quarta-Feira</v>
      </c>
      <c r="BB3" s="6" t="str">
        <f t="shared" ref="BB3" si="42">BB5</f>
        <v>Quinta-Feira</v>
      </c>
      <c r="BC3" s="6" t="str">
        <f t="shared" ref="BC3" si="43">BB5</f>
        <v>Quinta-Feira</v>
      </c>
      <c r="BD3" s="6" t="str">
        <f t="shared" ref="BD3" si="44">BB5</f>
        <v>Quinta-Feira</v>
      </c>
      <c r="BE3" s="6" t="str">
        <f t="shared" ref="BE3" si="45">BE5</f>
        <v>Sexta-Feira</v>
      </c>
      <c r="BF3" s="6" t="str">
        <f t="shared" ref="BF3" si="46">BE5</f>
        <v>Sexta-Feira</v>
      </c>
      <c r="BG3" s="6" t="str">
        <f t="shared" ref="BG3" si="47">BE5</f>
        <v>Sexta-Feira</v>
      </c>
      <c r="BH3" s="6" t="str">
        <f t="shared" ref="BH3" si="48">BH5</f>
        <v>Sábado</v>
      </c>
      <c r="BI3" s="6" t="str">
        <f t="shared" ref="BI3" si="49">BH5</f>
        <v>Sábado</v>
      </c>
      <c r="BJ3" s="6" t="str">
        <f t="shared" ref="BJ3" si="50">BH5</f>
        <v>Sábado</v>
      </c>
      <c r="BK3" s="6" t="str">
        <f t="shared" ref="BK3" si="51">BK5</f>
        <v>Domingo</v>
      </c>
      <c r="BL3" s="6" t="str">
        <f t="shared" ref="BL3" si="52">BK5</f>
        <v>Domingo</v>
      </c>
      <c r="BM3" s="6" t="str">
        <f t="shared" ref="BM3" si="53">BK5</f>
        <v>Domingo</v>
      </c>
      <c r="BN3" s="6" t="str">
        <f t="shared" ref="BN3" si="54">BN5</f>
        <v>Segunda-Feira</v>
      </c>
      <c r="BO3" s="6" t="str">
        <f t="shared" ref="BO3" si="55">BN5</f>
        <v>Segunda-Feira</v>
      </c>
      <c r="BP3" s="6" t="str">
        <f t="shared" ref="BP3" si="56">BN5</f>
        <v>Segunda-Feira</v>
      </c>
      <c r="BQ3" s="6" t="str">
        <f t="shared" ref="BQ3" si="57">BQ5</f>
        <v>Terça-Feira</v>
      </c>
      <c r="BR3" s="6" t="str">
        <f t="shared" ref="BR3" si="58">BQ5</f>
        <v>Terça-Feira</v>
      </c>
      <c r="BS3" s="6" t="str">
        <f t="shared" ref="BS3" si="59">BQ5</f>
        <v>Terça-Feira</v>
      </c>
      <c r="BT3" s="6" t="str">
        <f t="shared" ref="BT3" si="60">BT5</f>
        <v>Quarta-Feira</v>
      </c>
      <c r="BU3" s="6" t="str">
        <f t="shared" ref="BU3" si="61">BT5</f>
        <v>Quarta-Feira</v>
      </c>
      <c r="BV3" s="6" t="str">
        <f t="shared" ref="BV3" si="62">BT5</f>
        <v>Quarta-Feira</v>
      </c>
      <c r="BW3" s="6" t="str">
        <f t="shared" ref="BW3" si="63">BW5</f>
        <v>Quinta-Feira</v>
      </c>
      <c r="BX3" s="6" t="str">
        <f t="shared" ref="BX3" si="64">BW5</f>
        <v>Quinta-Feira</v>
      </c>
      <c r="BY3" s="6" t="str">
        <f t="shared" ref="BY3" si="65">BW5</f>
        <v>Quinta-Feira</v>
      </c>
      <c r="BZ3" s="6" t="str">
        <f t="shared" ref="BZ3" si="66">BZ5</f>
        <v>Sexta-Feira</v>
      </c>
      <c r="CA3" s="6" t="str">
        <f t="shared" ref="CA3" si="67">BZ5</f>
        <v>Sexta-Feira</v>
      </c>
      <c r="CB3" s="6" t="str">
        <f t="shared" ref="CB3" si="68">BZ5</f>
        <v>Sexta-Feira</v>
      </c>
      <c r="CC3" s="6" t="str">
        <f t="shared" ref="CC3" si="69">CC5</f>
        <v>Sábado</v>
      </c>
      <c r="CD3" s="6" t="str">
        <f t="shared" ref="CD3" si="70">CC5</f>
        <v>Sábado</v>
      </c>
      <c r="CE3" s="6" t="str">
        <f t="shared" ref="CE3" si="71">CC5</f>
        <v>Sábado</v>
      </c>
      <c r="CF3" s="6" t="str">
        <f t="shared" ref="CF3" si="72">CF5</f>
        <v>Domingo</v>
      </c>
      <c r="CG3" s="6" t="str">
        <f t="shared" ref="CG3" si="73">CF5</f>
        <v>Domingo</v>
      </c>
      <c r="CH3" s="6" t="str">
        <f t="shared" ref="CH3" si="74">CF5</f>
        <v>Domingo</v>
      </c>
      <c r="CI3" s="6" t="str">
        <f t="shared" ref="CI3" si="75">CI5</f>
        <v>Segunda-Feira</v>
      </c>
      <c r="CJ3" s="6" t="str">
        <f t="shared" ref="CJ3" si="76">CI5</f>
        <v>Segunda-Feira</v>
      </c>
      <c r="CK3" s="6" t="str">
        <f t="shared" ref="CK3" si="77">CI5</f>
        <v>Segunda-Feira</v>
      </c>
      <c r="CL3" s="6" t="str">
        <f t="shared" ref="CL3" si="78">CL5</f>
        <v>Terça-Feira</v>
      </c>
      <c r="CM3" s="6" t="str">
        <f t="shared" ref="CM3" si="79">CL5</f>
        <v>Terça-Feira</v>
      </c>
      <c r="CN3" s="6" t="str">
        <f t="shared" ref="CN3" si="80">CL5</f>
        <v>Terça-Feira</v>
      </c>
      <c r="CO3" s="6" t="str">
        <f t="shared" ref="CO3" si="81">CO5</f>
        <v>Quarta-Feira</v>
      </c>
      <c r="CP3" s="6" t="str">
        <f t="shared" ref="CP3" si="82">CO5</f>
        <v>Quarta-Feira</v>
      </c>
      <c r="CQ3" s="6" t="str">
        <f t="shared" ref="CQ3" si="83">CO5</f>
        <v>Quarta-Feira</v>
      </c>
      <c r="CR3" s="6" t="str">
        <f t="shared" ref="CR3" si="84">CR5</f>
        <v>Quinta-Feira</v>
      </c>
      <c r="CS3" s="6" t="str">
        <f t="shared" ref="CS3" si="85">CR5</f>
        <v>Quinta-Feira</v>
      </c>
      <c r="CT3" s="6" t="str">
        <f t="shared" ref="CT3" si="86">CR5</f>
        <v>Quinta-Feira</v>
      </c>
      <c r="CU3" s="10">
        <v>3</v>
      </c>
      <c r="CV3" s="11" t="s">
        <v>54</v>
      </c>
      <c r="CW3" s="12">
        <v>3</v>
      </c>
      <c r="CX3" s="11" t="s">
        <v>61</v>
      </c>
      <c r="CY3" s="6"/>
      <c r="CZ3" s="6"/>
    </row>
    <row r="4" spans="1:104" x14ac:dyDescent="0.25">
      <c r="F4" s="65">
        <v>44166</v>
      </c>
      <c r="G4" s="66"/>
      <c r="H4" s="67"/>
      <c r="I4" s="65">
        <f>F4+1</f>
        <v>44167</v>
      </c>
      <c r="J4" s="66"/>
      <c r="K4" s="67"/>
      <c r="L4" s="65">
        <f t="shared" ref="L4" si="87">I4+1</f>
        <v>44168</v>
      </c>
      <c r="M4" s="66"/>
      <c r="N4" s="67"/>
      <c r="O4" s="65">
        <f t="shared" ref="O4" si="88">L4+1</f>
        <v>44169</v>
      </c>
      <c r="P4" s="66"/>
      <c r="Q4" s="67"/>
      <c r="R4" s="65">
        <f t="shared" ref="R4" si="89">O4+1</f>
        <v>44170</v>
      </c>
      <c r="S4" s="66"/>
      <c r="T4" s="67"/>
      <c r="U4" s="65">
        <f t="shared" ref="U4" si="90">R4+1</f>
        <v>44171</v>
      </c>
      <c r="V4" s="66"/>
      <c r="W4" s="67"/>
      <c r="X4" s="65">
        <f t="shared" ref="X4" si="91">U4+1</f>
        <v>44172</v>
      </c>
      <c r="Y4" s="66"/>
      <c r="Z4" s="67"/>
      <c r="AA4" s="65">
        <f t="shared" ref="AA4" si="92">X4+1</f>
        <v>44173</v>
      </c>
      <c r="AB4" s="66"/>
      <c r="AC4" s="67"/>
      <c r="AD4" s="65">
        <f t="shared" ref="AD4" si="93">AA4+1</f>
        <v>44174</v>
      </c>
      <c r="AE4" s="66"/>
      <c r="AF4" s="67"/>
      <c r="AG4" s="65">
        <f t="shared" ref="AG4" si="94">AD4+1</f>
        <v>44175</v>
      </c>
      <c r="AH4" s="66"/>
      <c r="AI4" s="67"/>
      <c r="AJ4" s="65">
        <f t="shared" ref="AJ4" si="95">AG4+1</f>
        <v>44176</v>
      </c>
      <c r="AK4" s="66"/>
      <c r="AL4" s="67"/>
      <c r="AM4" s="65">
        <f t="shared" ref="AM4" si="96">AJ4+1</f>
        <v>44177</v>
      </c>
      <c r="AN4" s="66"/>
      <c r="AO4" s="67"/>
      <c r="AP4" s="65">
        <f t="shared" ref="AP4" si="97">AM4+1</f>
        <v>44178</v>
      </c>
      <c r="AQ4" s="66"/>
      <c r="AR4" s="67"/>
      <c r="AS4" s="65">
        <f t="shared" ref="AS4" si="98">AP4+1</f>
        <v>44179</v>
      </c>
      <c r="AT4" s="66"/>
      <c r="AU4" s="67"/>
      <c r="AV4" s="65">
        <f t="shared" ref="AV4" si="99">AS4+1</f>
        <v>44180</v>
      </c>
      <c r="AW4" s="66"/>
      <c r="AX4" s="67"/>
      <c r="AY4" s="65">
        <f t="shared" ref="AY4" si="100">AV4+1</f>
        <v>44181</v>
      </c>
      <c r="AZ4" s="66"/>
      <c r="BA4" s="67"/>
      <c r="BB4" s="65">
        <f t="shared" ref="BB4" si="101">AY4+1</f>
        <v>44182</v>
      </c>
      <c r="BC4" s="66"/>
      <c r="BD4" s="67"/>
      <c r="BE4" s="65">
        <f t="shared" ref="BE4" si="102">BB4+1</f>
        <v>44183</v>
      </c>
      <c r="BF4" s="66"/>
      <c r="BG4" s="67"/>
      <c r="BH4" s="65">
        <f t="shared" ref="BH4" si="103">BE4+1</f>
        <v>44184</v>
      </c>
      <c r="BI4" s="66"/>
      <c r="BJ4" s="67"/>
      <c r="BK4" s="65">
        <f t="shared" ref="BK4" si="104">BH4+1</f>
        <v>44185</v>
      </c>
      <c r="BL4" s="66"/>
      <c r="BM4" s="67"/>
      <c r="BN4" s="65">
        <f t="shared" ref="BN4" si="105">BK4+1</f>
        <v>44186</v>
      </c>
      <c r="BO4" s="66"/>
      <c r="BP4" s="67"/>
      <c r="BQ4" s="65">
        <f t="shared" ref="BQ4" si="106">BN4+1</f>
        <v>44187</v>
      </c>
      <c r="BR4" s="66"/>
      <c r="BS4" s="67"/>
      <c r="BT4" s="65">
        <f t="shared" ref="BT4" si="107">BQ4+1</f>
        <v>44188</v>
      </c>
      <c r="BU4" s="66"/>
      <c r="BV4" s="67"/>
      <c r="BW4" s="65">
        <f t="shared" ref="BW4" si="108">BT4+1</f>
        <v>44189</v>
      </c>
      <c r="BX4" s="66"/>
      <c r="BY4" s="67"/>
      <c r="BZ4" s="65">
        <f t="shared" ref="BZ4" si="109">BW4+1</f>
        <v>44190</v>
      </c>
      <c r="CA4" s="66"/>
      <c r="CB4" s="67"/>
      <c r="CC4" s="65">
        <f t="shared" ref="CC4" si="110">BZ4+1</f>
        <v>44191</v>
      </c>
      <c r="CD4" s="66"/>
      <c r="CE4" s="67"/>
      <c r="CF4" s="65">
        <f t="shared" ref="CF4" si="111">CC4+1</f>
        <v>44192</v>
      </c>
      <c r="CG4" s="66"/>
      <c r="CH4" s="67"/>
      <c r="CI4" s="65">
        <f t="shared" ref="CI4" si="112">CF4+1</f>
        <v>44193</v>
      </c>
      <c r="CJ4" s="66"/>
      <c r="CK4" s="67"/>
      <c r="CL4" s="65">
        <f t="shared" ref="CL4" si="113">CI4+1</f>
        <v>44194</v>
      </c>
      <c r="CM4" s="66"/>
      <c r="CN4" s="67"/>
      <c r="CO4" s="65">
        <f t="shared" ref="CO4" si="114">CL4+1</f>
        <v>44195</v>
      </c>
      <c r="CP4" s="66"/>
      <c r="CQ4" s="67"/>
      <c r="CR4" s="65">
        <f t="shared" ref="CR4" si="115">CO4+1</f>
        <v>44196</v>
      </c>
      <c r="CS4" s="66"/>
      <c r="CT4" s="67"/>
      <c r="CU4" s="10">
        <v>4</v>
      </c>
      <c r="CV4" s="11" t="s">
        <v>55</v>
      </c>
      <c r="CW4" s="12">
        <v>4</v>
      </c>
      <c r="CX4" s="11" t="s">
        <v>63</v>
      </c>
    </row>
    <row r="5" spans="1:104" ht="15.75" thickBot="1" x14ac:dyDescent="0.3">
      <c r="A5" s="13"/>
      <c r="F5" s="57" t="str">
        <f>IF(WEEKDAY(F4,2)=1,$CV$1,IF(WEEKDAY(F4,2)=2,$CV$2,IF(WEEKDAY(F4,2)=3,$CV$3,IF(WEEKDAY(F4,2)=4,$CV$4,IF(WEEKDAY(F4,2)=5,$CV$5,IF(WEEKDAY(F4,2)=6,$CV$6,IF(WEEKDAY(F4,2)=7,$CV$7,"ERRO")))))))</f>
        <v>Terça-Feira</v>
      </c>
      <c r="G5" s="58"/>
      <c r="H5" s="59"/>
      <c r="I5" s="57" t="str">
        <f t="shared" ref="I5" si="116">IF(WEEKDAY(I4,2)=1,$CV$1,IF(WEEKDAY(I4,2)=2,$CV$2,IF(WEEKDAY(I4,2)=3,$CV$3,IF(WEEKDAY(I4,2)=4,$CV$4,IF(WEEKDAY(I4,2)=5,$CV$5,IF(WEEKDAY(I4,2)=6,$CV$6,IF(WEEKDAY(I4,2)=7,$CV$7,"ERRO")))))))</f>
        <v>Quarta-Feira</v>
      </c>
      <c r="J5" s="58"/>
      <c r="K5" s="59"/>
      <c r="L5" s="57" t="str">
        <f t="shared" ref="L5" si="117">IF(WEEKDAY(L4,2)=1,$CV$1,IF(WEEKDAY(L4,2)=2,$CV$2,IF(WEEKDAY(L4,2)=3,$CV$3,IF(WEEKDAY(L4,2)=4,$CV$4,IF(WEEKDAY(L4,2)=5,$CV$5,IF(WEEKDAY(L4,2)=6,$CV$6,IF(WEEKDAY(L4,2)=7,$CV$7,"ERRO")))))))</f>
        <v>Quinta-Feira</v>
      </c>
      <c r="M5" s="58"/>
      <c r="N5" s="59"/>
      <c r="O5" s="57" t="str">
        <f t="shared" ref="O5" si="118">IF(WEEKDAY(O4,2)=1,$CV$1,IF(WEEKDAY(O4,2)=2,$CV$2,IF(WEEKDAY(O4,2)=3,$CV$3,IF(WEEKDAY(O4,2)=4,$CV$4,IF(WEEKDAY(O4,2)=5,$CV$5,IF(WEEKDAY(O4,2)=6,$CV$6,IF(WEEKDAY(O4,2)=7,$CV$7,"ERRO")))))))</f>
        <v>Sexta-Feira</v>
      </c>
      <c r="P5" s="58"/>
      <c r="Q5" s="59"/>
      <c r="R5" s="57" t="str">
        <f t="shared" ref="R5" si="119">IF(WEEKDAY(R4,2)=1,$CV$1,IF(WEEKDAY(R4,2)=2,$CV$2,IF(WEEKDAY(R4,2)=3,$CV$3,IF(WEEKDAY(R4,2)=4,$CV$4,IF(WEEKDAY(R4,2)=5,$CV$5,IF(WEEKDAY(R4,2)=6,$CV$6,IF(WEEKDAY(R4,2)=7,$CV$7,"ERRO")))))))</f>
        <v>Sábado</v>
      </c>
      <c r="S5" s="58"/>
      <c r="T5" s="59"/>
      <c r="U5" s="57" t="str">
        <f t="shared" ref="U5" si="120">IF(WEEKDAY(U4,2)=1,$CV$1,IF(WEEKDAY(U4,2)=2,$CV$2,IF(WEEKDAY(U4,2)=3,$CV$3,IF(WEEKDAY(U4,2)=4,$CV$4,IF(WEEKDAY(U4,2)=5,$CV$5,IF(WEEKDAY(U4,2)=6,$CV$6,IF(WEEKDAY(U4,2)=7,$CV$7,"ERRO")))))))</f>
        <v>Domingo</v>
      </c>
      <c r="V5" s="58"/>
      <c r="W5" s="59"/>
      <c r="X5" s="57" t="str">
        <f t="shared" ref="X5" si="121">IF(WEEKDAY(X4,2)=1,$CV$1,IF(WEEKDAY(X4,2)=2,$CV$2,IF(WEEKDAY(X4,2)=3,$CV$3,IF(WEEKDAY(X4,2)=4,$CV$4,IF(WEEKDAY(X4,2)=5,$CV$5,IF(WEEKDAY(X4,2)=6,$CV$6,IF(WEEKDAY(X4,2)=7,$CV$7,"ERRO")))))))</f>
        <v>Segunda-Feira</v>
      </c>
      <c r="Y5" s="58"/>
      <c r="Z5" s="59"/>
      <c r="AA5" s="57" t="str">
        <f t="shared" ref="AA5" si="122">IF(WEEKDAY(AA4,2)=1,$CV$1,IF(WEEKDAY(AA4,2)=2,$CV$2,IF(WEEKDAY(AA4,2)=3,$CV$3,IF(WEEKDAY(AA4,2)=4,$CV$4,IF(WEEKDAY(AA4,2)=5,$CV$5,IF(WEEKDAY(AA4,2)=6,$CV$6,IF(WEEKDAY(AA4,2)=7,$CV$7,"ERRO")))))))</f>
        <v>Terça-Feira</v>
      </c>
      <c r="AB5" s="58"/>
      <c r="AC5" s="59"/>
      <c r="AD5" s="57" t="str">
        <f t="shared" ref="AD5" si="123">IF(WEEKDAY(AD4,2)=1,$CV$1,IF(WEEKDAY(AD4,2)=2,$CV$2,IF(WEEKDAY(AD4,2)=3,$CV$3,IF(WEEKDAY(AD4,2)=4,$CV$4,IF(WEEKDAY(AD4,2)=5,$CV$5,IF(WEEKDAY(AD4,2)=6,$CV$6,IF(WEEKDAY(AD4,2)=7,$CV$7,"ERRO")))))))</f>
        <v>Quarta-Feira</v>
      </c>
      <c r="AE5" s="58"/>
      <c r="AF5" s="59"/>
      <c r="AG5" s="57" t="str">
        <f t="shared" ref="AG5" si="124">IF(WEEKDAY(AG4,2)=1,$CV$1,IF(WEEKDAY(AG4,2)=2,$CV$2,IF(WEEKDAY(AG4,2)=3,$CV$3,IF(WEEKDAY(AG4,2)=4,$CV$4,IF(WEEKDAY(AG4,2)=5,$CV$5,IF(WEEKDAY(AG4,2)=6,$CV$6,IF(WEEKDAY(AG4,2)=7,$CV$7,"ERRO")))))))</f>
        <v>Quinta-Feira</v>
      </c>
      <c r="AH5" s="58"/>
      <c r="AI5" s="59"/>
      <c r="AJ5" s="57" t="str">
        <f t="shared" ref="AJ5" si="125">IF(WEEKDAY(AJ4,2)=1,$CV$1,IF(WEEKDAY(AJ4,2)=2,$CV$2,IF(WEEKDAY(AJ4,2)=3,$CV$3,IF(WEEKDAY(AJ4,2)=4,$CV$4,IF(WEEKDAY(AJ4,2)=5,$CV$5,IF(WEEKDAY(AJ4,2)=6,$CV$6,IF(WEEKDAY(AJ4,2)=7,$CV$7,"ERRO")))))))</f>
        <v>Sexta-Feira</v>
      </c>
      <c r="AK5" s="58"/>
      <c r="AL5" s="59"/>
      <c r="AM5" s="57" t="str">
        <f t="shared" ref="AM5" si="126">IF(WEEKDAY(AM4,2)=1,$CV$1,IF(WEEKDAY(AM4,2)=2,$CV$2,IF(WEEKDAY(AM4,2)=3,$CV$3,IF(WEEKDAY(AM4,2)=4,$CV$4,IF(WEEKDAY(AM4,2)=5,$CV$5,IF(WEEKDAY(AM4,2)=6,$CV$6,IF(WEEKDAY(AM4,2)=7,$CV$7,"ERRO")))))))</f>
        <v>Sábado</v>
      </c>
      <c r="AN5" s="58"/>
      <c r="AO5" s="59"/>
      <c r="AP5" s="57" t="str">
        <f t="shared" ref="AP5" si="127">IF(WEEKDAY(AP4,2)=1,$CV$1,IF(WEEKDAY(AP4,2)=2,$CV$2,IF(WEEKDAY(AP4,2)=3,$CV$3,IF(WEEKDAY(AP4,2)=4,$CV$4,IF(WEEKDAY(AP4,2)=5,$CV$5,IF(WEEKDAY(AP4,2)=6,$CV$6,IF(WEEKDAY(AP4,2)=7,$CV$7,"ERRO")))))))</f>
        <v>Domingo</v>
      </c>
      <c r="AQ5" s="58"/>
      <c r="AR5" s="59"/>
      <c r="AS5" s="57" t="str">
        <f t="shared" ref="AS5" si="128">IF(WEEKDAY(AS4,2)=1,$CV$1,IF(WEEKDAY(AS4,2)=2,$CV$2,IF(WEEKDAY(AS4,2)=3,$CV$3,IF(WEEKDAY(AS4,2)=4,$CV$4,IF(WEEKDAY(AS4,2)=5,$CV$5,IF(WEEKDAY(AS4,2)=6,$CV$6,IF(WEEKDAY(AS4,2)=7,$CV$7,"ERRO")))))))</f>
        <v>Segunda-Feira</v>
      </c>
      <c r="AT5" s="58"/>
      <c r="AU5" s="59"/>
      <c r="AV5" s="57" t="str">
        <f t="shared" ref="AV5" si="129">IF(WEEKDAY(AV4,2)=1,$CV$1,IF(WEEKDAY(AV4,2)=2,$CV$2,IF(WEEKDAY(AV4,2)=3,$CV$3,IF(WEEKDAY(AV4,2)=4,$CV$4,IF(WEEKDAY(AV4,2)=5,$CV$5,IF(WEEKDAY(AV4,2)=6,$CV$6,IF(WEEKDAY(AV4,2)=7,$CV$7,"ERRO")))))))</f>
        <v>Terça-Feira</v>
      </c>
      <c r="AW5" s="58"/>
      <c r="AX5" s="59"/>
      <c r="AY5" s="57" t="str">
        <f t="shared" ref="AY5" si="130">IF(WEEKDAY(AY4,2)=1,$CV$1,IF(WEEKDAY(AY4,2)=2,$CV$2,IF(WEEKDAY(AY4,2)=3,$CV$3,IF(WEEKDAY(AY4,2)=4,$CV$4,IF(WEEKDAY(AY4,2)=5,$CV$5,IF(WEEKDAY(AY4,2)=6,$CV$6,IF(WEEKDAY(AY4,2)=7,$CV$7,"ERRO")))))))</f>
        <v>Quarta-Feira</v>
      </c>
      <c r="AZ5" s="58"/>
      <c r="BA5" s="59"/>
      <c r="BB5" s="57" t="str">
        <f t="shared" ref="BB5" si="131">IF(WEEKDAY(BB4,2)=1,$CV$1,IF(WEEKDAY(BB4,2)=2,$CV$2,IF(WEEKDAY(BB4,2)=3,$CV$3,IF(WEEKDAY(BB4,2)=4,$CV$4,IF(WEEKDAY(BB4,2)=5,$CV$5,IF(WEEKDAY(BB4,2)=6,$CV$6,IF(WEEKDAY(BB4,2)=7,$CV$7,"ERRO")))))))</f>
        <v>Quinta-Feira</v>
      </c>
      <c r="BC5" s="58"/>
      <c r="BD5" s="59"/>
      <c r="BE5" s="57" t="str">
        <f t="shared" ref="BE5" si="132">IF(WEEKDAY(BE4,2)=1,$CV$1,IF(WEEKDAY(BE4,2)=2,$CV$2,IF(WEEKDAY(BE4,2)=3,$CV$3,IF(WEEKDAY(BE4,2)=4,$CV$4,IF(WEEKDAY(BE4,2)=5,$CV$5,IF(WEEKDAY(BE4,2)=6,$CV$6,IF(WEEKDAY(BE4,2)=7,$CV$7,"ERRO")))))))</f>
        <v>Sexta-Feira</v>
      </c>
      <c r="BF5" s="58"/>
      <c r="BG5" s="59"/>
      <c r="BH5" s="57" t="str">
        <f t="shared" ref="BH5" si="133">IF(WEEKDAY(BH4,2)=1,$CV$1,IF(WEEKDAY(BH4,2)=2,$CV$2,IF(WEEKDAY(BH4,2)=3,$CV$3,IF(WEEKDAY(BH4,2)=4,$CV$4,IF(WEEKDAY(BH4,2)=5,$CV$5,IF(WEEKDAY(BH4,2)=6,$CV$6,IF(WEEKDAY(BH4,2)=7,$CV$7,"ERRO")))))))</f>
        <v>Sábado</v>
      </c>
      <c r="BI5" s="58"/>
      <c r="BJ5" s="59"/>
      <c r="BK5" s="57" t="str">
        <f t="shared" ref="BK5" si="134">IF(WEEKDAY(BK4,2)=1,$CV$1,IF(WEEKDAY(BK4,2)=2,$CV$2,IF(WEEKDAY(BK4,2)=3,$CV$3,IF(WEEKDAY(BK4,2)=4,$CV$4,IF(WEEKDAY(BK4,2)=5,$CV$5,IF(WEEKDAY(BK4,2)=6,$CV$6,IF(WEEKDAY(BK4,2)=7,$CV$7,"ERRO")))))))</f>
        <v>Domingo</v>
      </c>
      <c r="BL5" s="58"/>
      <c r="BM5" s="59"/>
      <c r="BN5" s="57" t="str">
        <f t="shared" ref="BN5" si="135">IF(WEEKDAY(BN4,2)=1,$CV$1,IF(WEEKDAY(BN4,2)=2,$CV$2,IF(WEEKDAY(BN4,2)=3,$CV$3,IF(WEEKDAY(BN4,2)=4,$CV$4,IF(WEEKDAY(BN4,2)=5,$CV$5,IF(WEEKDAY(BN4,2)=6,$CV$6,IF(WEEKDAY(BN4,2)=7,$CV$7,"ERRO")))))))</f>
        <v>Segunda-Feira</v>
      </c>
      <c r="BO5" s="58"/>
      <c r="BP5" s="59"/>
      <c r="BQ5" s="57" t="str">
        <f t="shared" ref="BQ5" si="136">IF(WEEKDAY(BQ4,2)=1,$CV$1,IF(WEEKDAY(BQ4,2)=2,$CV$2,IF(WEEKDAY(BQ4,2)=3,$CV$3,IF(WEEKDAY(BQ4,2)=4,$CV$4,IF(WEEKDAY(BQ4,2)=5,$CV$5,IF(WEEKDAY(BQ4,2)=6,$CV$6,IF(WEEKDAY(BQ4,2)=7,$CV$7,"ERRO")))))))</f>
        <v>Terça-Feira</v>
      </c>
      <c r="BR5" s="58"/>
      <c r="BS5" s="59"/>
      <c r="BT5" s="57" t="str">
        <f t="shared" ref="BT5" si="137">IF(WEEKDAY(BT4,2)=1,$CV$1,IF(WEEKDAY(BT4,2)=2,$CV$2,IF(WEEKDAY(BT4,2)=3,$CV$3,IF(WEEKDAY(BT4,2)=4,$CV$4,IF(WEEKDAY(BT4,2)=5,$CV$5,IF(WEEKDAY(BT4,2)=6,$CV$6,IF(WEEKDAY(BT4,2)=7,$CV$7,"ERRO")))))))</f>
        <v>Quarta-Feira</v>
      </c>
      <c r="BU5" s="58"/>
      <c r="BV5" s="59"/>
      <c r="BW5" s="57" t="str">
        <f t="shared" ref="BW5" si="138">IF(WEEKDAY(BW4,2)=1,$CV$1,IF(WEEKDAY(BW4,2)=2,$CV$2,IF(WEEKDAY(BW4,2)=3,$CV$3,IF(WEEKDAY(BW4,2)=4,$CV$4,IF(WEEKDAY(BW4,2)=5,$CV$5,IF(WEEKDAY(BW4,2)=6,$CV$6,IF(WEEKDAY(BW4,2)=7,$CV$7,"ERRO")))))))</f>
        <v>Quinta-Feira</v>
      </c>
      <c r="BX5" s="58"/>
      <c r="BY5" s="59"/>
      <c r="BZ5" s="57" t="str">
        <f t="shared" ref="BZ5" si="139">IF(WEEKDAY(BZ4,2)=1,$CV$1,IF(WEEKDAY(BZ4,2)=2,$CV$2,IF(WEEKDAY(BZ4,2)=3,$CV$3,IF(WEEKDAY(BZ4,2)=4,$CV$4,IF(WEEKDAY(BZ4,2)=5,$CV$5,IF(WEEKDAY(BZ4,2)=6,$CV$6,IF(WEEKDAY(BZ4,2)=7,$CV$7,"ERRO")))))))</f>
        <v>Sexta-Feira</v>
      </c>
      <c r="CA5" s="58"/>
      <c r="CB5" s="59"/>
      <c r="CC5" s="57" t="str">
        <f t="shared" ref="CC5" si="140">IF(WEEKDAY(CC4,2)=1,$CV$1,IF(WEEKDAY(CC4,2)=2,$CV$2,IF(WEEKDAY(CC4,2)=3,$CV$3,IF(WEEKDAY(CC4,2)=4,$CV$4,IF(WEEKDAY(CC4,2)=5,$CV$5,IF(WEEKDAY(CC4,2)=6,$CV$6,IF(WEEKDAY(CC4,2)=7,$CV$7,"ERRO")))))))</f>
        <v>Sábado</v>
      </c>
      <c r="CD5" s="58"/>
      <c r="CE5" s="59"/>
      <c r="CF5" s="57" t="str">
        <f t="shared" ref="CF5" si="141">IF(WEEKDAY(CF4,2)=1,$CV$1,IF(WEEKDAY(CF4,2)=2,$CV$2,IF(WEEKDAY(CF4,2)=3,$CV$3,IF(WEEKDAY(CF4,2)=4,$CV$4,IF(WEEKDAY(CF4,2)=5,$CV$5,IF(WEEKDAY(CF4,2)=6,$CV$6,IF(WEEKDAY(CF4,2)=7,$CV$7,"ERRO")))))))</f>
        <v>Domingo</v>
      </c>
      <c r="CG5" s="58"/>
      <c r="CH5" s="59"/>
      <c r="CI5" s="57" t="str">
        <f t="shared" ref="CI5" si="142">IF(WEEKDAY(CI4,2)=1,$CV$1,IF(WEEKDAY(CI4,2)=2,$CV$2,IF(WEEKDAY(CI4,2)=3,$CV$3,IF(WEEKDAY(CI4,2)=4,$CV$4,IF(WEEKDAY(CI4,2)=5,$CV$5,IF(WEEKDAY(CI4,2)=6,$CV$6,IF(WEEKDAY(CI4,2)=7,$CV$7,"ERRO")))))))</f>
        <v>Segunda-Feira</v>
      </c>
      <c r="CJ5" s="58"/>
      <c r="CK5" s="59"/>
      <c r="CL5" s="57" t="str">
        <f t="shared" ref="CL5" si="143">IF(WEEKDAY(CL4,2)=1,$CV$1,IF(WEEKDAY(CL4,2)=2,$CV$2,IF(WEEKDAY(CL4,2)=3,$CV$3,IF(WEEKDAY(CL4,2)=4,$CV$4,IF(WEEKDAY(CL4,2)=5,$CV$5,IF(WEEKDAY(CL4,2)=6,$CV$6,IF(WEEKDAY(CL4,2)=7,$CV$7,"ERRO")))))))</f>
        <v>Terça-Feira</v>
      </c>
      <c r="CM5" s="58"/>
      <c r="CN5" s="59"/>
      <c r="CO5" s="57" t="str">
        <f t="shared" ref="CO5" si="144">IF(WEEKDAY(CO4,2)=1,$CV$1,IF(WEEKDAY(CO4,2)=2,$CV$2,IF(WEEKDAY(CO4,2)=3,$CV$3,IF(WEEKDAY(CO4,2)=4,$CV$4,IF(WEEKDAY(CO4,2)=5,$CV$5,IF(WEEKDAY(CO4,2)=6,$CV$6,IF(WEEKDAY(CO4,2)=7,$CV$7,"ERRO")))))))</f>
        <v>Quarta-Feira</v>
      </c>
      <c r="CP5" s="58"/>
      <c r="CQ5" s="59"/>
      <c r="CR5" s="57" t="str">
        <f t="shared" ref="CR5" si="145">IF(WEEKDAY(CR4,2)=1,$CV$1,IF(WEEKDAY(CR4,2)=2,$CV$2,IF(WEEKDAY(CR4,2)=3,$CV$3,IF(WEEKDAY(CR4,2)=4,$CV$4,IF(WEEKDAY(CR4,2)=5,$CV$5,IF(WEEKDAY(CR4,2)=6,$CV$6,IF(WEEKDAY(CR4,2)=7,$CV$7,"ERRO")))))))</f>
        <v>Quinta-Feira</v>
      </c>
      <c r="CS5" s="58"/>
      <c r="CT5" s="59"/>
      <c r="CU5" s="10">
        <v>5</v>
      </c>
      <c r="CV5" s="11" t="s">
        <v>56</v>
      </c>
      <c r="CW5" s="12">
        <v>5</v>
      </c>
      <c r="CX5" s="11" t="s">
        <v>62</v>
      </c>
    </row>
    <row r="6" spans="1:104" ht="15.75" thickBot="1" x14ac:dyDescent="0.3">
      <c r="A6" s="27" t="s">
        <v>0</v>
      </c>
      <c r="B6" s="28" t="s">
        <v>1</v>
      </c>
      <c r="C6" s="28" t="s">
        <v>2</v>
      </c>
      <c r="D6" s="28" t="s">
        <v>3</v>
      </c>
      <c r="E6" s="28" t="s">
        <v>4</v>
      </c>
      <c r="F6" s="40" t="s">
        <v>5</v>
      </c>
      <c r="G6" s="3" t="s">
        <v>6</v>
      </c>
      <c r="H6" s="4" t="s">
        <v>7</v>
      </c>
      <c r="I6" s="2" t="s">
        <v>5</v>
      </c>
      <c r="J6" s="3" t="s">
        <v>6</v>
      </c>
      <c r="K6" s="4" t="s">
        <v>7</v>
      </c>
      <c r="L6" s="2" t="s">
        <v>5</v>
      </c>
      <c r="M6" s="3" t="s">
        <v>6</v>
      </c>
      <c r="N6" s="4" t="s">
        <v>7</v>
      </c>
      <c r="O6" s="2" t="s">
        <v>5</v>
      </c>
      <c r="P6" s="3" t="s">
        <v>6</v>
      </c>
      <c r="Q6" s="4" t="s">
        <v>7</v>
      </c>
      <c r="R6" s="2" t="s">
        <v>5</v>
      </c>
      <c r="S6" s="3" t="s">
        <v>6</v>
      </c>
      <c r="T6" s="4" t="s">
        <v>7</v>
      </c>
      <c r="U6" s="2" t="s">
        <v>5</v>
      </c>
      <c r="V6" s="3" t="s">
        <v>6</v>
      </c>
      <c r="W6" s="4" t="s">
        <v>7</v>
      </c>
      <c r="X6" s="2" t="s">
        <v>5</v>
      </c>
      <c r="Y6" s="3" t="s">
        <v>6</v>
      </c>
      <c r="Z6" s="4" t="s">
        <v>7</v>
      </c>
      <c r="AA6" s="2" t="s">
        <v>5</v>
      </c>
      <c r="AB6" s="3" t="s">
        <v>6</v>
      </c>
      <c r="AC6" s="4" t="s">
        <v>7</v>
      </c>
      <c r="AD6" s="2" t="s">
        <v>5</v>
      </c>
      <c r="AE6" s="3" t="s">
        <v>6</v>
      </c>
      <c r="AF6" s="4" t="s">
        <v>7</v>
      </c>
      <c r="AG6" s="2" t="s">
        <v>5</v>
      </c>
      <c r="AH6" s="3" t="s">
        <v>6</v>
      </c>
      <c r="AI6" s="4" t="s">
        <v>7</v>
      </c>
      <c r="AJ6" s="2" t="s">
        <v>5</v>
      </c>
      <c r="AK6" s="3" t="s">
        <v>6</v>
      </c>
      <c r="AL6" s="4" t="s">
        <v>7</v>
      </c>
      <c r="AM6" s="2" t="s">
        <v>5</v>
      </c>
      <c r="AN6" s="3" t="s">
        <v>6</v>
      </c>
      <c r="AO6" s="4" t="s">
        <v>7</v>
      </c>
      <c r="AP6" s="2" t="s">
        <v>5</v>
      </c>
      <c r="AQ6" s="3" t="s">
        <v>6</v>
      </c>
      <c r="AR6" s="4" t="s">
        <v>7</v>
      </c>
      <c r="AS6" s="2" t="s">
        <v>5</v>
      </c>
      <c r="AT6" s="3" t="s">
        <v>6</v>
      </c>
      <c r="AU6" s="4" t="s">
        <v>7</v>
      </c>
      <c r="AV6" s="2" t="s">
        <v>5</v>
      </c>
      <c r="AW6" s="3" t="s">
        <v>6</v>
      </c>
      <c r="AX6" s="4" t="s">
        <v>7</v>
      </c>
      <c r="AY6" s="2" t="s">
        <v>5</v>
      </c>
      <c r="AZ6" s="3" t="s">
        <v>6</v>
      </c>
      <c r="BA6" s="4" t="s">
        <v>7</v>
      </c>
      <c r="BB6" s="2" t="s">
        <v>5</v>
      </c>
      <c r="BC6" s="3" t="s">
        <v>6</v>
      </c>
      <c r="BD6" s="4" t="s">
        <v>7</v>
      </c>
      <c r="BE6" s="2" t="s">
        <v>5</v>
      </c>
      <c r="BF6" s="3" t="s">
        <v>6</v>
      </c>
      <c r="BG6" s="4" t="s">
        <v>7</v>
      </c>
      <c r="BH6" s="2" t="s">
        <v>5</v>
      </c>
      <c r="BI6" s="3" t="s">
        <v>6</v>
      </c>
      <c r="BJ6" s="4" t="s">
        <v>7</v>
      </c>
      <c r="BK6" s="2" t="s">
        <v>5</v>
      </c>
      <c r="BL6" s="3" t="s">
        <v>6</v>
      </c>
      <c r="BM6" s="4" t="s">
        <v>7</v>
      </c>
      <c r="BN6" s="2" t="s">
        <v>5</v>
      </c>
      <c r="BO6" s="3" t="s">
        <v>6</v>
      </c>
      <c r="BP6" s="4" t="s">
        <v>7</v>
      </c>
      <c r="BQ6" s="2" t="s">
        <v>5</v>
      </c>
      <c r="BR6" s="3" t="s">
        <v>6</v>
      </c>
      <c r="BS6" s="4" t="s">
        <v>7</v>
      </c>
      <c r="BT6" s="2" t="s">
        <v>5</v>
      </c>
      <c r="BU6" s="3" t="s">
        <v>6</v>
      </c>
      <c r="BV6" s="4" t="s">
        <v>7</v>
      </c>
      <c r="BW6" s="2" t="s">
        <v>5</v>
      </c>
      <c r="BX6" s="3" t="s">
        <v>6</v>
      </c>
      <c r="BY6" s="4" t="s">
        <v>7</v>
      </c>
      <c r="BZ6" s="2" t="s">
        <v>5</v>
      </c>
      <c r="CA6" s="3" t="s">
        <v>6</v>
      </c>
      <c r="CB6" s="4" t="s">
        <v>7</v>
      </c>
      <c r="CC6" s="2" t="s">
        <v>5</v>
      </c>
      <c r="CD6" s="3" t="s">
        <v>6</v>
      </c>
      <c r="CE6" s="4" t="s">
        <v>7</v>
      </c>
      <c r="CF6" s="2" t="s">
        <v>5</v>
      </c>
      <c r="CG6" s="3" t="s">
        <v>6</v>
      </c>
      <c r="CH6" s="4" t="s">
        <v>7</v>
      </c>
      <c r="CI6" s="2" t="s">
        <v>5</v>
      </c>
      <c r="CJ6" s="3" t="s">
        <v>6</v>
      </c>
      <c r="CK6" s="4" t="s">
        <v>7</v>
      </c>
      <c r="CL6" s="2" t="s">
        <v>5</v>
      </c>
      <c r="CM6" s="3" t="s">
        <v>6</v>
      </c>
      <c r="CN6" s="4" t="s">
        <v>7</v>
      </c>
      <c r="CO6" s="2" t="s">
        <v>5</v>
      </c>
      <c r="CP6" s="3" t="s">
        <v>6</v>
      </c>
      <c r="CQ6" s="4" t="s">
        <v>7</v>
      </c>
      <c r="CR6" s="2" t="s">
        <v>5</v>
      </c>
      <c r="CS6" s="3" t="s">
        <v>6</v>
      </c>
      <c r="CT6" s="4" t="s">
        <v>7</v>
      </c>
      <c r="CU6" s="10">
        <v>6</v>
      </c>
      <c r="CV6" s="11" t="s">
        <v>57</v>
      </c>
      <c r="CW6" s="12">
        <v>6</v>
      </c>
      <c r="CX6" s="11" t="s">
        <v>64</v>
      </c>
    </row>
    <row r="7" spans="1:104" ht="62.25" customHeight="1" x14ac:dyDescent="0.25">
      <c r="A7" s="42" t="s">
        <v>45</v>
      </c>
      <c r="B7" s="43" t="s">
        <v>25</v>
      </c>
      <c r="C7" s="44">
        <v>1290</v>
      </c>
      <c r="D7" s="45" t="s">
        <v>9</v>
      </c>
      <c r="E7" s="46" t="s">
        <v>20</v>
      </c>
      <c r="F7" s="39"/>
      <c r="G7" s="35"/>
      <c r="H7" s="36"/>
      <c r="I7" s="39"/>
      <c r="J7" s="35"/>
      <c r="K7" s="36"/>
      <c r="L7" s="39"/>
      <c r="M7" s="35"/>
      <c r="N7" s="36"/>
      <c r="O7" s="39"/>
      <c r="P7" s="35"/>
      <c r="Q7" s="36"/>
      <c r="R7" s="39"/>
      <c r="S7" s="35"/>
      <c r="T7" s="36"/>
      <c r="U7" s="39"/>
      <c r="V7" s="35"/>
      <c r="W7" s="36"/>
      <c r="X7" s="37"/>
      <c r="Y7" s="34"/>
      <c r="Z7" s="38"/>
      <c r="AA7" s="37"/>
      <c r="AB7" s="34"/>
      <c r="AC7" s="36"/>
      <c r="AD7" s="39"/>
      <c r="AE7" s="35"/>
      <c r="AF7" s="36"/>
      <c r="AG7" s="39"/>
      <c r="AH7" s="35"/>
      <c r="AI7" s="36"/>
      <c r="AJ7" s="39"/>
      <c r="AK7" s="35"/>
      <c r="AL7" s="36"/>
      <c r="AM7" s="39"/>
      <c r="AN7" s="35"/>
      <c r="AO7" s="36"/>
      <c r="AP7" s="39"/>
      <c r="AQ7" s="35"/>
      <c r="AR7" s="36"/>
      <c r="AS7" s="39"/>
      <c r="AT7" s="35"/>
      <c r="AU7" s="36"/>
      <c r="AV7" s="39"/>
      <c r="AW7" s="35"/>
      <c r="AX7" s="36"/>
      <c r="AY7" s="39"/>
      <c r="AZ7" s="35"/>
      <c r="BA7" s="36"/>
      <c r="BB7" s="39"/>
      <c r="BC7" s="35"/>
      <c r="BD7" s="36"/>
      <c r="BE7" s="39"/>
      <c r="BF7" s="35"/>
      <c r="BG7" s="36"/>
      <c r="BH7" s="39"/>
      <c r="BI7" s="35"/>
      <c r="BJ7" s="36"/>
      <c r="BK7" s="39"/>
      <c r="BL7" s="35"/>
      <c r="BM7" s="36"/>
      <c r="BN7" s="39"/>
      <c r="BO7" s="35"/>
      <c r="BP7" s="36"/>
      <c r="BQ7" s="39"/>
      <c r="BR7" s="35"/>
      <c r="BS7" s="36"/>
      <c r="BT7" s="39"/>
      <c r="BU7" s="35"/>
      <c r="BV7" s="36"/>
      <c r="BW7" s="39"/>
      <c r="BX7" s="35"/>
      <c r="BY7" s="36"/>
      <c r="BZ7" s="39"/>
      <c r="CA7" s="35"/>
      <c r="CB7" s="36"/>
      <c r="CC7" s="39"/>
      <c r="CD7" s="35"/>
      <c r="CE7" s="36"/>
      <c r="CF7" s="39"/>
      <c r="CG7" s="35"/>
      <c r="CH7" s="36"/>
      <c r="CI7" s="39"/>
      <c r="CJ7" s="35"/>
      <c r="CK7" s="36"/>
      <c r="CL7" s="39"/>
      <c r="CM7" s="35"/>
      <c r="CN7" s="36"/>
      <c r="CO7" s="39"/>
      <c r="CP7" s="35"/>
      <c r="CQ7" s="36"/>
      <c r="CR7" s="39"/>
      <c r="CS7" s="35"/>
      <c r="CT7" s="36"/>
      <c r="CU7" s="10">
        <v>7</v>
      </c>
      <c r="CV7" s="11" t="s">
        <v>58</v>
      </c>
      <c r="CW7" s="12">
        <v>7</v>
      </c>
      <c r="CX7" s="11" t="s">
        <v>65</v>
      </c>
    </row>
    <row r="8" spans="1:104" ht="62.25" customHeight="1" x14ac:dyDescent="0.25">
      <c r="A8" s="32" t="s">
        <v>46</v>
      </c>
      <c r="B8" s="29" t="s">
        <v>42</v>
      </c>
      <c r="C8" s="30">
        <v>1290</v>
      </c>
      <c r="D8" s="31" t="s">
        <v>9</v>
      </c>
      <c r="E8" s="31" t="s">
        <v>10</v>
      </c>
      <c r="F8" s="37"/>
      <c r="G8" s="33"/>
      <c r="H8" s="38"/>
      <c r="I8" s="37"/>
      <c r="J8" s="33"/>
      <c r="K8" s="38"/>
      <c r="L8" s="37"/>
      <c r="M8" s="33"/>
      <c r="N8" s="38"/>
      <c r="O8" s="37"/>
      <c r="P8" s="33"/>
      <c r="Q8" s="38"/>
      <c r="R8" s="37"/>
      <c r="S8" s="33"/>
      <c r="T8" s="38"/>
      <c r="U8" s="37"/>
      <c r="V8" s="33"/>
      <c r="W8" s="38"/>
      <c r="X8" s="37"/>
      <c r="Y8" s="33"/>
      <c r="Z8" s="38"/>
      <c r="AA8" s="37"/>
      <c r="AB8" s="33"/>
      <c r="AC8" s="38"/>
      <c r="AD8" s="37"/>
      <c r="AE8" s="33"/>
      <c r="AF8" s="38"/>
      <c r="AG8" s="37"/>
      <c r="AH8" s="33"/>
      <c r="AI8" s="38"/>
      <c r="AJ8" s="37"/>
      <c r="AK8" s="33"/>
      <c r="AL8" s="38"/>
      <c r="AM8" s="37"/>
      <c r="AN8" s="33"/>
      <c r="AO8" s="38"/>
      <c r="AP8" s="37"/>
      <c r="AQ8" s="33"/>
      <c r="AR8" s="38"/>
      <c r="AS8" s="37"/>
      <c r="AT8" s="33"/>
      <c r="AU8" s="38"/>
      <c r="AV8" s="37"/>
      <c r="AW8" s="33"/>
      <c r="AX8" s="38"/>
      <c r="AY8" s="37"/>
      <c r="AZ8" s="33"/>
      <c r="BA8" s="38"/>
      <c r="BB8" s="37"/>
      <c r="BC8" s="33"/>
      <c r="BD8" s="38"/>
      <c r="BE8" s="37"/>
      <c r="BF8" s="33"/>
      <c r="BG8" s="38"/>
      <c r="BH8" s="37"/>
      <c r="BI8" s="33"/>
      <c r="BJ8" s="38"/>
      <c r="BK8" s="37"/>
      <c r="BL8" s="33"/>
      <c r="BM8" s="38"/>
      <c r="BN8" s="37"/>
      <c r="BO8" s="33"/>
      <c r="BP8" s="38"/>
      <c r="BQ8" s="37"/>
      <c r="BR8" s="33"/>
      <c r="BS8" s="38"/>
      <c r="BT8" s="37"/>
      <c r="BU8" s="33"/>
      <c r="BV8" s="38"/>
      <c r="BW8" s="37"/>
      <c r="BX8" s="33"/>
      <c r="BY8" s="38"/>
      <c r="BZ8" s="37"/>
      <c r="CA8" s="33"/>
      <c r="CB8" s="38"/>
      <c r="CC8" s="37"/>
      <c r="CD8" s="33"/>
      <c r="CE8" s="38"/>
      <c r="CF8" s="37"/>
      <c r="CG8" s="33"/>
      <c r="CH8" s="38"/>
      <c r="CI8" s="37"/>
      <c r="CJ8" s="33"/>
      <c r="CK8" s="38"/>
      <c r="CL8" s="37"/>
      <c r="CM8" s="33"/>
      <c r="CN8" s="38"/>
      <c r="CO8" s="37"/>
      <c r="CP8" s="33"/>
      <c r="CQ8" s="38"/>
      <c r="CR8" s="37"/>
      <c r="CS8" s="33"/>
      <c r="CT8" s="38"/>
      <c r="CU8" s="10"/>
      <c r="CW8" s="12">
        <v>8</v>
      </c>
      <c r="CX8" s="11" t="s">
        <v>66</v>
      </c>
    </row>
    <row r="9" spans="1:104" ht="62.25" customHeight="1" x14ac:dyDescent="0.25">
      <c r="A9" s="32" t="s">
        <v>47</v>
      </c>
      <c r="B9" s="29" t="s">
        <v>42</v>
      </c>
      <c r="C9" s="30">
        <v>1260</v>
      </c>
      <c r="D9" s="31" t="s">
        <v>26</v>
      </c>
      <c r="E9" s="31" t="s">
        <v>15</v>
      </c>
      <c r="F9" s="37"/>
      <c r="G9" s="34"/>
      <c r="H9" s="38"/>
      <c r="I9" s="37"/>
      <c r="J9" s="34"/>
      <c r="K9" s="38"/>
      <c r="L9" s="37"/>
      <c r="M9" s="34"/>
      <c r="N9" s="38"/>
      <c r="O9" s="37"/>
      <c r="P9" s="34"/>
      <c r="Q9" s="38"/>
      <c r="R9" s="37"/>
      <c r="S9" s="34"/>
      <c r="T9" s="38"/>
      <c r="U9" s="37"/>
      <c r="V9" s="34"/>
      <c r="W9" s="38"/>
      <c r="X9" s="37"/>
      <c r="Y9" s="34"/>
      <c r="Z9" s="38"/>
      <c r="AA9" s="37"/>
      <c r="AB9" s="34"/>
      <c r="AC9" s="38"/>
      <c r="AD9" s="37"/>
      <c r="AE9" s="34"/>
      <c r="AF9" s="38"/>
      <c r="AG9" s="37"/>
      <c r="AH9" s="34"/>
      <c r="AI9" s="38"/>
      <c r="AJ9" s="37"/>
      <c r="AK9" s="34"/>
      <c r="AL9" s="38"/>
      <c r="AM9" s="37"/>
      <c r="AN9" s="34"/>
      <c r="AO9" s="38"/>
      <c r="AP9" s="37"/>
      <c r="AQ9" s="34"/>
      <c r="AR9" s="38"/>
      <c r="AS9" s="37"/>
      <c r="AT9" s="34"/>
      <c r="AU9" s="38"/>
      <c r="AV9" s="37"/>
      <c r="AW9" s="34"/>
      <c r="AX9" s="38"/>
      <c r="AY9" s="37"/>
      <c r="AZ9" s="34"/>
      <c r="BA9" s="38"/>
      <c r="BB9" s="37"/>
      <c r="BC9" s="34"/>
      <c r="BD9" s="38"/>
      <c r="BE9" s="37"/>
      <c r="BF9" s="34"/>
      <c r="BG9" s="38"/>
      <c r="BH9" s="37"/>
      <c r="BI9" s="34"/>
      <c r="BJ9" s="38"/>
      <c r="BK9" s="37"/>
      <c r="BL9" s="34"/>
      <c r="BM9" s="38"/>
      <c r="BN9" s="37"/>
      <c r="BO9" s="34"/>
      <c r="BP9" s="38"/>
      <c r="BQ9" s="37"/>
      <c r="BR9" s="34"/>
      <c r="BS9" s="38"/>
      <c r="BT9" s="37"/>
      <c r="BU9" s="34"/>
      <c r="BV9" s="38"/>
      <c r="BW9" s="37"/>
      <c r="BX9" s="34"/>
      <c r="BY9" s="38"/>
      <c r="BZ9" s="37"/>
      <c r="CA9" s="34"/>
      <c r="CB9" s="38"/>
      <c r="CC9" s="37"/>
      <c r="CD9" s="34"/>
      <c r="CE9" s="38"/>
      <c r="CF9" s="37"/>
      <c r="CG9" s="34"/>
      <c r="CH9" s="38"/>
      <c r="CI9" s="37"/>
      <c r="CJ9" s="34"/>
      <c r="CK9" s="38"/>
      <c r="CL9" s="37"/>
      <c r="CM9" s="34"/>
      <c r="CN9" s="38"/>
      <c r="CO9" s="37"/>
      <c r="CP9" s="34"/>
      <c r="CQ9" s="38"/>
      <c r="CR9" s="37"/>
      <c r="CS9" s="34"/>
      <c r="CT9" s="38"/>
      <c r="CW9" s="12">
        <v>9</v>
      </c>
      <c r="CX9" s="11" t="s">
        <v>67</v>
      </c>
    </row>
    <row r="10" spans="1:104" ht="62.25" customHeight="1" x14ac:dyDescent="0.25">
      <c r="A10" s="32" t="s">
        <v>48</v>
      </c>
      <c r="B10" s="29" t="s">
        <v>43</v>
      </c>
      <c r="C10" s="30">
        <v>1260</v>
      </c>
      <c r="D10" s="31" t="s">
        <v>14</v>
      </c>
      <c r="E10" s="31" t="s">
        <v>20</v>
      </c>
      <c r="F10" s="37"/>
      <c r="G10" s="33"/>
      <c r="H10" s="38"/>
      <c r="I10" s="37"/>
      <c r="J10" s="33"/>
      <c r="K10" s="38"/>
      <c r="L10" s="37"/>
      <c r="M10" s="33"/>
      <c r="N10" s="38"/>
      <c r="O10" s="37"/>
      <c r="P10" s="33"/>
      <c r="Q10" s="38"/>
      <c r="R10" s="37"/>
      <c r="S10" s="33"/>
      <c r="T10" s="38"/>
      <c r="U10" s="37"/>
      <c r="V10" s="33"/>
      <c r="W10" s="38"/>
      <c r="X10" s="37"/>
      <c r="Y10" s="33"/>
      <c r="Z10" s="38"/>
      <c r="AA10" s="37"/>
      <c r="AB10" s="33"/>
      <c r="AC10" s="38"/>
      <c r="AD10" s="37"/>
      <c r="AE10" s="33"/>
      <c r="AF10" s="38"/>
      <c r="AG10" s="37"/>
      <c r="AH10" s="33"/>
      <c r="AI10" s="38"/>
      <c r="AJ10" s="37"/>
      <c r="AK10" s="33"/>
      <c r="AL10" s="38"/>
      <c r="AM10" s="37"/>
      <c r="AN10" s="33"/>
      <c r="AO10" s="38"/>
      <c r="AP10" s="37"/>
      <c r="AQ10" s="33"/>
      <c r="AR10" s="38"/>
      <c r="AS10" s="37"/>
      <c r="AT10" s="33"/>
      <c r="AU10" s="38"/>
      <c r="AV10" s="37"/>
      <c r="AW10" s="33"/>
      <c r="AX10" s="38"/>
      <c r="AY10" s="37"/>
      <c r="AZ10" s="33"/>
      <c r="BA10" s="38"/>
      <c r="BB10" s="37"/>
      <c r="BC10" s="33"/>
      <c r="BD10" s="38"/>
      <c r="BE10" s="37"/>
      <c r="BF10" s="33"/>
      <c r="BG10" s="38"/>
      <c r="BH10" s="37"/>
      <c r="BI10" s="33"/>
      <c r="BJ10" s="38"/>
      <c r="BK10" s="37"/>
      <c r="BL10" s="33"/>
      <c r="BM10" s="38"/>
      <c r="BN10" s="37"/>
      <c r="BO10" s="33"/>
      <c r="BP10" s="38"/>
      <c r="BQ10" s="37"/>
      <c r="BR10" s="33"/>
      <c r="BS10" s="38"/>
      <c r="BT10" s="37"/>
      <c r="BU10" s="33"/>
      <c r="BV10" s="38"/>
      <c r="BW10" s="37"/>
      <c r="BX10" s="33"/>
      <c r="BY10" s="38"/>
      <c r="BZ10" s="37"/>
      <c r="CA10" s="33"/>
      <c r="CB10" s="38"/>
      <c r="CC10" s="37"/>
      <c r="CD10" s="33"/>
      <c r="CE10" s="38"/>
      <c r="CF10" s="37"/>
      <c r="CG10" s="33"/>
      <c r="CH10" s="38"/>
      <c r="CI10" s="37"/>
      <c r="CJ10" s="33"/>
      <c r="CK10" s="38"/>
      <c r="CL10" s="37"/>
      <c r="CM10" s="33"/>
      <c r="CN10" s="38"/>
      <c r="CO10" s="37"/>
      <c r="CP10" s="33"/>
      <c r="CQ10" s="38"/>
      <c r="CR10" s="37"/>
      <c r="CS10" s="33"/>
      <c r="CT10" s="38"/>
      <c r="CW10" s="12">
        <v>10</v>
      </c>
      <c r="CX10" s="11" t="s">
        <v>68</v>
      </c>
    </row>
    <row r="11" spans="1:104" ht="62.25" customHeight="1" x14ac:dyDescent="0.25">
      <c r="A11" s="32" t="s">
        <v>49</v>
      </c>
      <c r="B11" s="29" t="s">
        <v>29</v>
      </c>
      <c r="C11" s="30" t="s">
        <v>51</v>
      </c>
      <c r="D11" s="31" t="s">
        <v>26</v>
      </c>
      <c r="E11" s="31" t="s">
        <v>23</v>
      </c>
      <c r="F11" s="37"/>
      <c r="G11" s="34"/>
      <c r="H11" s="38"/>
      <c r="I11" s="37"/>
      <c r="J11" s="34"/>
      <c r="K11" s="38"/>
      <c r="L11" s="37"/>
      <c r="M11" s="34"/>
      <c r="N11" s="38"/>
      <c r="O11" s="37"/>
      <c r="P11" s="34"/>
      <c r="Q11" s="38"/>
      <c r="R11" s="37"/>
      <c r="S11" s="34"/>
      <c r="T11" s="38"/>
      <c r="U11" s="37"/>
      <c r="V11" s="34"/>
      <c r="W11" s="38"/>
      <c r="X11" s="37"/>
      <c r="Y11" s="34"/>
      <c r="Z11" s="38"/>
      <c r="AA11" s="37"/>
      <c r="AB11" s="34"/>
      <c r="AC11" s="38"/>
      <c r="AD11" s="37"/>
      <c r="AE11" s="34"/>
      <c r="AF11" s="38"/>
      <c r="AG11" s="37"/>
      <c r="AH11" s="34"/>
      <c r="AI11" s="38"/>
      <c r="AJ11" s="37"/>
      <c r="AK11" s="34"/>
      <c r="AL11" s="38"/>
      <c r="AM11" s="37"/>
      <c r="AN11" s="34"/>
      <c r="AO11" s="38"/>
      <c r="AP11" s="37"/>
      <c r="AQ11" s="34"/>
      <c r="AR11" s="38"/>
      <c r="AS11" s="37"/>
      <c r="AT11" s="34"/>
      <c r="AU11" s="38"/>
      <c r="AV11" s="37"/>
      <c r="AW11" s="34"/>
      <c r="AX11" s="38"/>
      <c r="AY11" s="37"/>
      <c r="AZ11" s="34"/>
      <c r="BA11" s="38"/>
      <c r="BB11" s="37"/>
      <c r="BC11" s="34"/>
      <c r="BD11" s="38"/>
      <c r="BE11" s="37"/>
      <c r="BF11" s="34"/>
      <c r="BG11" s="38"/>
      <c r="BH11" s="37"/>
      <c r="BI11" s="34"/>
      <c r="BJ11" s="38"/>
      <c r="BK11" s="37"/>
      <c r="BL11" s="34"/>
      <c r="BM11" s="38"/>
      <c r="BN11" s="37"/>
      <c r="BO11" s="34"/>
      <c r="BP11" s="38"/>
      <c r="BQ11" s="37"/>
      <c r="BR11" s="34"/>
      <c r="BS11" s="38"/>
      <c r="BT11" s="37"/>
      <c r="BU11" s="34"/>
      <c r="BV11" s="38"/>
      <c r="BW11" s="37"/>
      <c r="BX11" s="34"/>
      <c r="BY11" s="38"/>
      <c r="BZ11" s="37"/>
      <c r="CA11" s="34"/>
      <c r="CB11" s="38"/>
      <c r="CC11" s="37"/>
      <c r="CD11" s="34"/>
      <c r="CE11" s="38"/>
      <c r="CF11" s="37"/>
      <c r="CG11" s="34"/>
      <c r="CH11" s="38"/>
      <c r="CI11" s="37"/>
      <c r="CJ11" s="34"/>
      <c r="CK11" s="38"/>
      <c r="CL11" s="37"/>
      <c r="CM11" s="34"/>
      <c r="CN11" s="38"/>
      <c r="CO11" s="37"/>
      <c r="CP11" s="34"/>
      <c r="CQ11" s="38"/>
      <c r="CR11" s="37"/>
      <c r="CS11" s="34"/>
      <c r="CT11" s="38"/>
      <c r="CW11" s="12">
        <v>11</v>
      </c>
      <c r="CX11" s="11" t="s">
        <v>69</v>
      </c>
    </row>
    <row r="12" spans="1:104" ht="62.25" customHeight="1" x14ac:dyDescent="0.25">
      <c r="A12" s="32" t="s">
        <v>50</v>
      </c>
      <c r="B12" s="29" t="s">
        <v>41</v>
      </c>
      <c r="C12" s="30" t="s">
        <v>52</v>
      </c>
      <c r="D12" s="31" t="s">
        <v>26</v>
      </c>
      <c r="E12" s="31" t="s">
        <v>16</v>
      </c>
      <c r="F12" s="37"/>
      <c r="G12" s="33"/>
      <c r="H12" s="38"/>
      <c r="I12" s="37"/>
      <c r="J12" s="33"/>
      <c r="K12" s="38"/>
      <c r="L12" s="37"/>
      <c r="M12" s="33"/>
      <c r="N12" s="38"/>
      <c r="O12" s="37"/>
      <c r="P12" s="33"/>
      <c r="Q12" s="38"/>
      <c r="R12" s="37"/>
      <c r="S12" s="33"/>
      <c r="T12" s="38"/>
      <c r="U12" s="37"/>
      <c r="V12" s="33"/>
      <c r="W12" s="38"/>
      <c r="X12" s="37"/>
      <c r="Y12" s="33"/>
      <c r="Z12" s="38"/>
      <c r="AA12" s="37"/>
      <c r="AB12" s="33"/>
      <c r="AC12" s="38"/>
      <c r="AD12" s="37"/>
      <c r="AE12" s="33"/>
      <c r="AF12" s="38"/>
      <c r="AG12" s="37"/>
      <c r="AH12" s="33"/>
      <c r="AI12" s="38"/>
      <c r="AJ12" s="37"/>
      <c r="AK12" s="33"/>
      <c r="AL12" s="38"/>
      <c r="AM12" s="37"/>
      <c r="AN12" s="33"/>
      <c r="AO12" s="38"/>
      <c r="AP12" s="37"/>
      <c r="AQ12" s="33"/>
      <c r="AR12" s="38"/>
      <c r="AS12" s="37"/>
      <c r="AT12" s="33"/>
      <c r="AU12" s="38"/>
      <c r="AV12" s="37"/>
      <c r="AW12" s="33"/>
      <c r="AX12" s="38"/>
      <c r="AY12" s="37"/>
      <c r="AZ12" s="33"/>
      <c r="BA12" s="38"/>
      <c r="BB12" s="37"/>
      <c r="BC12" s="33"/>
      <c r="BD12" s="38"/>
      <c r="BE12" s="37"/>
      <c r="BF12" s="33"/>
      <c r="BG12" s="38"/>
      <c r="BH12" s="37"/>
      <c r="BI12" s="33"/>
      <c r="BJ12" s="38"/>
      <c r="BK12" s="37"/>
      <c r="BL12" s="33"/>
      <c r="BM12" s="38"/>
      <c r="BN12" s="37"/>
      <c r="BO12" s="33"/>
      <c r="BP12" s="38"/>
      <c r="BQ12" s="37"/>
      <c r="BR12" s="33"/>
      <c r="BS12" s="38"/>
      <c r="BT12" s="37"/>
      <c r="BU12" s="33"/>
      <c r="BV12" s="38"/>
      <c r="BW12" s="37"/>
      <c r="BX12" s="33"/>
      <c r="BY12" s="38"/>
      <c r="BZ12" s="37"/>
      <c r="CA12" s="33"/>
      <c r="CB12" s="38"/>
      <c r="CC12" s="37"/>
      <c r="CD12" s="33"/>
      <c r="CE12" s="38"/>
      <c r="CF12" s="37"/>
      <c r="CG12" s="33"/>
      <c r="CH12" s="38"/>
      <c r="CI12" s="37"/>
      <c r="CJ12" s="33"/>
      <c r="CK12" s="38"/>
      <c r="CL12" s="37"/>
      <c r="CM12" s="33"/>
      <c r="CN12" s="38"/>
      <c r="CO12" s="37"/>
      <c r="CP12" s="33"/>
      <c r="CQ12" s="38"/>
      <c r="CR12" s="37"/>
      <c r="CS12" s="33"/>
      <c r="CT12" s="38"/>
      <c r="CW12" s="12">
        <v>12</v>
      </c>
      <c r="CX12" s="11" t="s">
        <v>70</v>
      </c>
    </row>
    <row r="13" spans="1:104" ht="15.75" thickBot="1" x14ac:dyDescent="0.3">
      <c r="A13" s="13"/>
      <c r="R13" s="5"/>
      <c r="S13" s="5"/>
      <c r="T13" s="5"/>
      <c r="AD13" s="14"/>
      <c r="AE13" s="14"/>
      <c r="AF13" s="14"/>
      <c r="AG13" s="14"/>
      <c r="AH13" s="14"/>
      <c r="AI13" s="14"/>
      <c r="CW13" s="12"/>
    </row>
    <row r="14" spans="1:104" ht="16.5" thickBot="1" x14ac:dyDescent="0.3">
      <c r="A14" s="13" t="str">
        <f>A7</f>
        <v>HPLC.0034</v>
      </c>
      <c r="B14" s="6" t="s">
        <v>71</v>
      </c>
      <c r="C14" s="18" t="e">
        <f ca="1">HLOOKUP(TODAY(),$F$4:$CT$12,4,FALSE)</f>
        <v>#N/A</v>
      </c>
      <c r="P14" s="60" t="s">
        <v>30</v>
      </c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15"/>
      <c r="AR14" s="62" t="s">
        <v>31</v>
      </c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4"/>
      <c r="BE14" s="16"/>
      <c r="BF14" s="1"/>
    </row>
    <row r="15" spans="1:104" x14ac:dyDescent="0.25">
      <c r="B15" s="6" t="s">
        <v>72</v>
      </c>
      <c r="C15" s="18" t="e">
        <f ca="1">HLOOKUP(TODAY(),$F$4:$CT$12,5,FALSE)</f>
        <v>#N/A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</row>
    <row r="16" spans="1:104" x14ac:dyDescent="0.25">
      <c r="A16" s="13" t="str">
        <f>A8</f>
        <v>HPLC.0035</v>
      </c>
      <c r="B16" s="6" t="s">
        <v>71</v>
      </c>
      <c r="C16" s="18" t="e">
        <f ca="1">HLOOKUP(TODAY(),$F$4:$CT$12,6,FALSE)</f>
        <v>#N/A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</row>
    <row r="17" spans="1:67" x14ac:dyDescent="0.25">
      <c r="B17" s="6" t="s">
        <v>72</v>
      </c>
      <c r="C17" s="18" t="e">
        <f ca="1">HLOOKUP(TODAY(),$F$4:$CT$12,7,FALSE)</f>
        <v>#N/A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</row>
    <row r="18" spans="1:67" x14ac:dyDescent="0.25">
      <c r="A18" s="13" t="str">
        <f>A9</f>
        <v>HPLC.0036</v>
      </c>
      <c r="B18" s="6" t="s">
        <v>71</v>
      </c>
      <c r="C18" s="18" t="e">
        <f ca="1">HLOOKUP(TODAY(),$F$4:$CT$12,8,FALSE)</f>
        <v>#N/A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</row>
    <row r="19" spans="1:67" x14ac:dyDescent="0.25">
      <c r="B19" s="6" t="s">
        <v>72</v>
      </c>
      <c r="C19" s="18" t="e">
        <f ca="1">HLOOKUP(TODAY(),$F$4:$CT$12,9,FALSE)</f>
        <v>#N/A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</row>
    <row r="20" spans="1:67" x14ac:dyDescent="0.25">
      <c r="A20" s="13" t="str">
        <f>A10</f>
        <v>HPLC.0037</v>
      </c>
      <c r="B20" s="6" t="s">
        <v>71</v>
      </c>
      <c r="C20" s="18" t="e">
        <f ca="1">HLOOKUP(TODAY(),$F$4:$CT$12,10,FALSE)</f>
        <v>#N/A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</row>
    <row r="21" spans="1:67" x14ac:dyDescent="0.25">
      <c r="B21" s="6" t="s">
        <v>72</v>
      </c>
      <c r="C21" s="18" t="e">
        <f ca="1">HLOOKUP(TODAY(),$F$4:$CT$12,11,FALSE)</f>
        <v>#N/A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</row>
    <row r="22" spans="1:67" x14ac:dyDescent="0.25">
      <c r="A22" s="13" t="str">
        <f>A11</f>
        <v>HPLC.0045</v>
      </c>
      <c r="B22" s="6" t="s">
        <v>71</v>
      </c>
      <c r="C22" s="18" t="e">
        <f ca="1">HLOOKUP(TODAY(),$F$4:$CT$12,12,FALSE)</f>
        <v>#N/A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</row>
    <row r="23" spans="1:67" x14ac:dyDescent="0.25">
      <c r="B23" s="6" t="s">
        <v>72</v>
      </c>
      <c r="C23" s="18" t="e">
        <f ca="1">HLOOKUP(TODAY(),$F$4:$CT$12,13,FALSE)</f>
        <v>#N/A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</row>
    <row r="24" spans="1:67" x14ac:dyDescent="0.25">
      <c r="A24" s="13" t="str">
        <f>A12</f>
        <v>HPLC.0050</v>
      </c>
      <c r="B24" s="6" t="s">
        <v>71</v>
      </c>
      <c r="C24" s="18" t="e">
        <f ca="1">HLOOKUP(TODAY(),$F$4:$CT$12,14,FALSE)</f>
        <v>#N/A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O24" s="6" t="s">
        <v>33</v>
      </c>
    </row>
    <row r="25" spans="1:67" x14ac:dyDescent="0.25">
      <c r="A25" s="13"/>
      <c r="B25" s="6" t="s">
        <v>72</v>
      </c>
      <c r="C25" s="18" t="e">
        <f ca="1">HLOOKUP(TODAY(),$F$4:$CT$12,15,FALSE)</f>
        <v>#N/A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</row>
    <row r="26" spans="1:67" x14ac:dyDescent="0.25">
      <c r="A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</row>
    <row r="27" spans="1:67" x14ac:dyDescent="0.25">
      <c r="A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</row>
    <row r="28" spans="1:67" x14ac:dyDescent="0.25">
      <c r="A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</row>
    <row r="29" spans="1:67" x14ac:dyDescent="0.25">
      <c r="A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</row>
    <row r="30" spans="1:67" x14ac:dyDescent="0.25">
      <c r="A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</row>
    <row r="31" spans="1:67" x14ac:dyDescent="0.25">
      <c r="A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</row>
    <row r="32" spans="1:67" x14ac:dyDescent="0.25">
      <c r="A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</row>
    <row r="33" spans="1:60" x14ac:dyDescent="0.25">
      <c r="A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</row>
    <row r="34" spans="1:60" x14ac:dyDescent="0.25">
      <c r="G34" s="1" t="s">
        <v>59</v>
      </c>
      <c r="H34" s="17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</row>
    <row r="35" spans="1:60" x14ac:dyDescent="0.25">
      <c r="G35" s="11"/>
      <c r="H35" s="19" t="s">
        <v>45</v>
      </c>
      <c r="I35" s="19" t="s">
        <v>46</v>
      </c>
      <c r="J35" s="19" t="s">
        <v>47</v>
      </c>
      <c r="K35" s="19" t="s">
        <v>48</v>
      </c>
      <c r="L35" s="19" t="s">
        <v>49</v>
      </c>
      <c r="M35" s="19" t="s">
        <v>50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</row>
    <row r="36" spans="1:60" x14ac:dyDescent="0.25">
      <c r="G36" s="1" t="s">
        <v>21</v>
      </c>
      <c r="H36" s="18">
        <f t="shared" ref="H36:H44" si="146">COUNTIF($F$7:$CT$7,$G36)</f>
        <v>0</v>
      </c>
      <c r="I36" s="18">
        <f t="shared" ref="I36:I44" si="147">COUNTIF($F$8:$CT$8,$G36)</f>
        <v>0</v>
      </c>
      <c r="J36" s="18">
        <f t="shared" ref="J36:J44" si="148">COUNTIF($F$9:$CT$9,$G36)</f>
        <v>0</v>
      </c>
      <c r="K36" s="18">
        <f t="shared" ref="K36:K44" si="149">COUNTIF($F$10:$CT$10,$G36)</f>
        <v>0</v>
      </c>
      <c r="L36" s="18">
        <f t="shared" ref="L36:L44" si="150">COUNTIF($F$11:$CT$11,$G36)</f>
        <v>0</v>
      </c>
      <c r="M36" s="18">
        <f t="shared" ref="M36:M44" si="151">COUNTIF($F$12:$CT$12,$G36)</f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</row>
    <row r="37" spans="1:60" x14ac:dyDescent="0.25">
      <c r="G37" s="1" t="s">
        <v>12</v>
      </c>
      <c r="H37" s="18">
        <f t="shared" si="146"/>
        <v>0</v>
      </c>
      <c r="I37" s="18">
        <f t="shared" si="147"/>
        <v>0</v>
      </c>
      <c r="J37" s="18">
        <f t="shared" si="148"/>
        <v>0</v>
      </c>
      <c r="K37" s="18">
        <f t="shared" si="149"/>
        <v>0</v>
      </c>
      <c r="L37" s="18">
        <f t="shared" si="150"/>
        <v>0</v>
      </c>
      <c r="M37" s="18">
        <f t="shared" si="151"/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</row>
    <row r="38" spans="1:60" x14ac:dyDescent="0.25">
      <c r="G38" s="20" t="s">
        <v>36</v>
      </c>
      <c r="H38" s="18">
        <f t="shared" si="146"/>
        <v>0</v>
      </c>
      <c r="I38" s="18">
        <f t="shared" si="147"/>
        <v>0</v>
      </c>
      <c r="J38" s="18">
        <f t="shared" si="148"/>
        <v>0</v>
      </c>
      <c r="K38" s="18">
        <f t="shared" si="149"/>
        <v>0</v>
      </c>
      <c r="L38" s="18">
        <f t="shared" si="150"/>
        <v>0</v>
      </c>
      <c r="M38" s="18">
        <f t="shared" si="151"/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</row>
    <row r="39" spans="1:60" x14ac:dyDescent="0.25">
      <c r="G39" s="20" t="s">
        <v>17</v>
      </c>
      <c r="H39" s="18">
        <f t="shared" si="146"/>
        <v>0</v>
      </c>
      <c r="I39" s="18">
        <f t="shared" si="147"/>
        <v>0</v>
      </c>
      <c r="J39" s="18">
        <f t="shared" si="148"/>
        <v>0</v>
      </c>
      <c r="K39" s="18">
        <f t="shared" si="149"/>
        <v>0</v>
      </c>
      <c r="L39" s="18">
        <f t="shared" si="150"/>
        <v>0</v>
      </c>
      <c r="M39" s="18">
        <f t="shared" si="151"/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</row>
    <row r="40" spans="1:60" x14ac:dyDescent="0.25">
      <c r="G40" s="20" t="s">
        <v>44</v>
      </c>
      <c r="H40" s="18">
        <f t="shared" si="146"/>
        <v>0</v>
      </c>
      <c r="I40" s="18">
        <f t="shared" si="147"/>
        <v>0</v>
      </c>
      <c r="J40" s="18">
        <f t="shared" si="148"/>
        <v>0</v>
      </c>
      <c r="K40" s="18">
        <f t="shared" si="149"/>
        <v>0</v>
      </c>
      <c r="L40" s="18">
        <f t="shared" si="150"/>
        <v>0</v>
      </c>
      <c r="M40" s="18">
        <f t="shared" si="151"/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</row>
    <row r="41" spans="1:60" x14ac:dyDescent="0.25">
      <c r="G41" s="20" t="s">
        <v>38</v>
      </c>
      <c r="H41" s="18">
        <f t="shared" si="146"/>
        <v>0</v>
      </c>
      <c r="I41" s="18">
        <f t="shared" si="147"/>
        <v>0</v>
      </c>
      <c r="J41" s="18">
        <f t="shared" si="148"/>
        <v>0</v>
      </c>
      <c r="K41" s="18">
        <f t="shared" si="149"/>
        <v>0</v>
      </c>
      <c r="L41" s="18">
        <f t="shared" si="150"/>
        <v>0</v>
      </c>
      <c r="M41" s="18">
        <f t="shared" si="151"/>
        <v>0</v>
      </c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</row>
    <row r="42" spans="1:60" x14ac:dyDescent="0.25">
      <c r="G42" s="20" t="s">
        <v>37</v>
      </c>
      <c r="H42" s="18">
        <f t="shared" si="146"/>
        <v>0</v>
      </c>
      <c r="I42" s="18">
        <f t="shared" si="147"/>
        <v>0</v>
      </c>
      <c r="J42" s="18">
        <f t="shared" si="148"/>
        <v>0</v>
      </c>
      <c r="K42" s="18">
        <f t="shared" si="149"/>
        <v>0</v>
      </c>
      <c r="L42" s="18">
        <f t="shared" si="150"/>
        <v>0</v>
      </c>
      <c r="M42" s="18">
        <f t="shared" si="151"/>
        <v>0</v>
      </c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</row>
    <row r="43" spans="1:60" x14ac:dyDescent="0.25">
      <c r="G43" s="20" t="s">
        <v>27</v>
      </c>
      <c r="H43" s="18">
        <f t="shared" si="146"/>
        <v>0</v>
      </c>
      <c r="I43" s="18">
        <f t="shared" si="147"/>
        <v>0</v>
      </c>
      <c r="J43" s="18">
        <f t="shared" si="148"/>
        <v>0</v>
      </c>
      <c r="K43" s="18">
        <f t="shared" si="149"/>
        <v>0</v>
      </c>
      <c r="L43" s="18">
        <f t="shared" si="150"/>
        <v>0</v>
      </c>
      <c r="M43" s="18">
        <f t="shared" si="151"/>
        <v>0</v>
      </c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</row>
    <row r="44" spans="1:60" x14ac:dyDescent="0.25">
      <c r="G44" s="20" t="s">
        <v>18</v>
      </c>
      <c r="H44" s="18">
        <f t="shared" si="146"/>
        <v>0</v>
      </c>
      <c r="I44" s="18">
        <f t="shared" si="147"/>
        <v>0</v>
      </c>
      <c r="J44" s="18">
        <f t="shared" si="148"/>
        <v>0</v>
      </c>
      <c r="K44" s="18">
        <f t="shared" si="149"/>
        <v>0</v>
      </c>
      <c r="L44" s="18">
        <f t="shared" si="150"/>
        <v>0</v>
      </c>
      <c r="M44" s="18">
        <f t="shared" si="151"/>
        <v>0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</row>
    <row r="45" spans="1:60" x14ac:dyDescent="0.25">
      <c r="G45" s="21" t="s">
        <v>28</v>
      </c>
      <c r="H45" s="18">
        <f>COUNTIF($F$7:$CT$7,$G45)</f>
        <v>0</v>
      </c>
      <c r="I45" s="18">
        <f>COUNTIF($F$8:$CT$8,$G45)</f>
        <v>0</v>
      </c>
      <c r="J45" s="18">
        <f>COUNTIF($F$9:$CT$9,$G45)</f>
        <v>0</v>
      </c>
      <c r="K45" s="18">
        <f>COUNTIF($F$10:$CT$10,$G45)</f>
        <v>0</v>
      </c>
      <c r="L45" s="18">
        <f>COUNTIF($F$11:$CT$11,$G45)</f>
        <v>0</v>
      </c>
      <c r="M45" s="18">
        <f>COUNTIF($F$12:$CT$12,$G45)</f>
        <v>0</v>
      </c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</row>
    <row r="46" spans="1:60" x14ac:dyDescent="0.25">
      <c r="G46" s="21" t="s">
        <v>11</v>
      </c>
      <c r="H46" s="18">
        <f>COUNTIF($F$7:$CT$7,$G46)</f>
        <v>0</v>
      </c>
      <c r="I46" s="18">
        <f>COUNTIF($F$8:$CT$8,$G46)</f>
        <v>0</v>
      </c>
      <c r="J46" s="18">
        <f>COUNTIF($F$9:$CT$9,$G46)</f>
        <v>0</v>
      </c>
      <c r="K46" s="18">
        <f>COUNTIF($F$10:$CT$10,$G46)</f>
        <v>0</v>
      </c>
      <c r="L46" s="18">
        <f>COUNTIF($F$11:$CT$11,$G46)</f>
        <v>0</v>
      </c>
      <c r="M46" s="18">
        <f>COUNTIF($F$12:$CT$12,$G46)</f>
        <v>0</v>
      </c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</row>
    <row r="47" spans="1:60" x14ac:dyDescent="0.25">
      <c r="H47" s="21" t="str">
        <f t="shared" ref="H47:M47" si="152">H35</f>
        <v>HPLC.0034</v>
      </c>
      <c r="I47" s="21" t="str">
        <f t="shared" si="152"/>
        <v>HPLC.0035</v>
      </c>
      <c r="J47" s="21" t="str">
        <f t="shared" si="152"/>
        <v>HPLC.0036</v>
      </c>
      <c r="K47" s="21" t="str">
        <f t="shared" si="152"/>
        <v>HPLC.0037</v>
      </c>
      <c r="L47" s="21" t="str">
        <f t="shared" si="152"/>
        <v>HPLC.0045</v>
      </c>
      <c r="M47" s="21" t="str">
        <f t="shared" si="152"/>
        <v>HPLC.0050</v>
      </c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</row>
    <row r="48" spans="1:60" x14ac:dyDescent="0.25">
      <c r="G48" s="21" t="s">
        <v>73</v>
      </c>
      <c r="H48" s="24">
        <f t="shared" ref="H48:M48" si="153">SUM(H36:H37,H39:H44)</f>
        <v>0</v>
      </c>
      <c r="I48" s="24">
        <f t="shared" si="153"/>
        <v>0</v>
      </c>
      <c r="J48" s="24">
        <f t="shared" si="153"/>
        <v>0</v>
      </c>
      <c r="K48" s="24">
        <f t="shared" si="153"/>
        <v>0</v>
      </c>
      <c r="L48" s="24">
        <f t="shared" si="153"/>
        <v>0</v>
      </c>
      <c r="M48" s="24">
        <f t="shared" si="153"/>
        <v>0</v>
      </c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</row>
    <row r="49" spans="1:60" x14ac:dyDescent="0.25">
      <c r="G49" s="21" t="s">
        <v>74</v>
      </c>
      <c r="H49" s="24">
        <f t="shared" ref="H49:M49" si="154">SUM(H38,H45:H46)</f>
        <v>0</v>
      </c>
      <c r="I49" s="24">
        <f t="shared" si="154"/>
        <v>0</v>
      </c>
      <c r="J49" s="24">
        <f t="shared" si="154"/>
        <v>0</v>
      </c>
      <c r="K49" s="24">
        <f t="shared" si="154"/>
        <v>0</v>
      </c>
      <c r="L49" s="24">
        <f t="shared" si="154"/>
        <v>0</v>
      </c>
      <c r="M49" s="24">
        <f t="shared" si="154"/>
        <v>0</v>
      </c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</row>
    <row r="50" spans="1:60" x14ac:dyDescent="0.25"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</row>
    <row r="51" spans="1:60" x14ac:dyDescent="0.25"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</row>
    <row r="52" spans="1:60" x14ac:dyDescent="0.25"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</row>
    <row r="53" spans="1:60" x14ac:dyDescent="0.25"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</row>
    <row r="54" spans="1:60" x14ac:dyDescent="0.25"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</row>
    <row r="55" spans="1:60" x14ac:dyDescent="0.25"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</row>
    <row r="56" spans="1:60" x14ac:dyDescent="0.25"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</row>
    <row r="57" spans="1:60" x14ac:dyDescent="0.25">
      <c r="A57" s="1" t="s">
        <v>34</v>
      </c>
      <c r="B57" s="17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</row>
    <row r="58" spans="1:60" x14ac:dyDescent="0.25">
      <c r="A58" s="13" t="s">
        <v>21</v>
      </c>
      <c r="B58" s="18">
        <f t="shared" ref="B58:B68" ca="1" si="155">COUNTIF($C$14:$C$25,A58)</f>
        <v>0</v>
      </c>
      <c r="C58" s="13" t="s">
        <v>35</v>
      </c>
      <c r="D58" s="18">
        <f>COUNTA(A7:A12)</f>
        <v>6</v>
      </c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</row>
    <row r="59" spans="1:60" x14ac:dyDescent="0.25">
      <c r="A59" s="13" t="s">
        <v>12</v>
      </c>
      <c r="B59" s="18">
        <f t="shared" ca="1" si="155"/>
        <v>0</v>
      </c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</row>
    <row r="60" spans="1:60" x14ac:dyDescent="0.25">
      <c r="A60" s="41" t="s">
        <v>36</v>
      </c>
      <c r="B60" s="18">
        <f t="shared" ca="1" si="155"/>
        <v>0</v>
      </c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</row>
    <row r="61" spans="1:60" x14ac:dyDescent="0.25">
      <c r="A61" s="41" t="s">
        <v>17</v>
      </c>
      <c r="B61" s="18">
        <f t="shared" ca="1" si="155"/>
        <v>0</v>
      </c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</row>
    <row r="62" spans="1:60" x14ac:dyDescent="0.25">
      <c r="A62" s="41" t="s">
        <v>44</v>
      </c>
      <c r="B62" s="18">
        <f t="shared" ca="1" si="155"/>
        <v>0</v>
      </c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</row>
    <row r="63" spans="1:60" x14ac:dyDescent="0.25">
      <c r="A63" s="41" t="s">
        <v>38</v>
      </c>
      <c r="B63" s="18">
        <f t="shared" ca="1" si="155"/>
        <v>0</v>
      </c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</row>
    <row r="64" spans="1:60" x14ac:dyDescent="0.25">
      <c r="A64" s="41" t="s">
        <v>37</v>
      </c>
      <c r="B64" s="18">
        <f t="shared" ca="1" si="155"/>
        <v>0</v>
      </c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</row>
    <row r="65" spans="1:60" x14ac:dyDescent="0.25">
      <c r="A65" s="41" t="s">
        <v>27</v>
      </c>
      <c r="B65" s="18">
        <f t="shared" ca="1" si="155"/>
        <v>0</v>
      </c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</row>
    <row r="66" spans="1:60" x14ac:dyDescent="0.25">
      <c r="A66" s="41" t="s">
        <v>18</v>
      </c>
      <c r="B66" s="18">
        <f t="shared" ca="1" si="155"/>
        <v>0</v>
      </c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</row>
    <row r="67" spans="1:60" x14ac:dyDescent="0.25">
      <c r="A67" s="6" t="s">
        <v>28</v>
      </c>
      <c r="B67" s="18">
        <f t="shared" ca="1" si="155"/>
        <v>0</v>
      </c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</row>
    <row r="68" spans="1:60" x14ac:dyDescent="0.25">
      <c r="A68" s="6" t="s">
        <v>11</v>
      </c>
      <c r="B68" s="18">
        <f t="shared" ca="1" si="155"/>
        <v>0</v>
      </c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</row>
    <row r="69" spans="1:60" x14ac:dyDescent="0.25"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</row>
    <row r="70" spans="1:60" x14ac:dyDescent="0.25">
      <c r="A70" s="6" t="s">
        <v>32</v>
      </c>
      <c r="B70" s="22" t="s">
        <v>39</v>
      </c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</row>
    <row r="71" spans="1:60" x14ac:dyDescent="0.25">
      <c r="B71" s="23" t="s">
        <v>8</v>
      </c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</row>
    <row r="72" spans="1:60" x14ac:dyDescent="0.25">
      <c r="B72" s="23" t="s">
        <v>25</v>
      </c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</row>
    <row r="73" spans="1:60" x14ac:dyDescent="0.25">
      <c r="B73" s="23" t="s">
        <v>29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</row>
    <row r="74" spans="1:60" x14ac:dyDescent="0.25">
      <c r="B74" s="23" t="s">
        <v>40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</row>
    <row r="75" spans="1:60" x14ac:dyDescent="0.25">
      <c r="B75" s="23" t="s">
        <v>22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</row>
    <row r="76" spans="1:60" x14ac:dyDescent="0.25">
      <c r="B76" s="23" t="s">
        <v>24</v>
      </c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</row>
    <row r="77" spans="1:60" x14ac:dyDescent="0.25">
      <c r="B77" s="23" t="s">
        <v>41</v>
      </c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</row>
    <row r="78" spans="1:60" x14ac:dyDescent="0.25">
      <c r="B78" s="23" t="s">
        <v>19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</row>
    <row r="79" spans="1:60" x14ac:dyDescent="0.25">
      <c r="B79" s="25" t="s">
        <v>13</v>
      </c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</row>
    <row r="80" spans="1:60" x14ac:dyDescent="0.25"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</row>
    <row r="81" spans="15:75" x14ac:dyDescent="0.25"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</row>
    <row r="82" spans="15:75" x14ac:dyDescent="0.25"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</row>
    <row r="83" spans="15:75" x14ac:dyDescent="0.25"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</row>
    <row r="84" spans="15:75" x14ac:dyDescent="0.25"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W84" s="26"/>
    </row>
    <row r="85" spans="15:75" x14ac:dyDescent="0.25"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</row>
    <row r="86" spans="15:75" x14ac:dyDescent="0.25"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</row>
    <row r="87" spans="15:75" x14ac:dyDescent="0.25"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</row>
    <row r="88" spans="15:75" x14ac:dyDescent="0.25">
      <c r="AZ88" s="13"/>
    </row>
    <row r="89" spans="15:75" x14ac:dyDescent="0.25">
      <c r="AZ89" s="13"/>
    </row>
    <row r="90" spans="15:75" x14ac:dyDescent="0.25">
      <c r="AZ90" s="13"/>
    </row>
  </sheetData>
  <sheetProtection autoFilter="0"/>
  <mergeCells count="65">
    <mergeCell ref="CF5:CH5"/>
    <mergeCell ref="CI5:CK5"/>
    <mergeCell ref="CL5:CN5"/>
    <mergeCell ref="CO5:CQ5"/>
    <mergeCell ref="CR5:CT5"/>
    <mergeCell ref="P14:AP14"/>
    <mergeCell ref="AR14:BD14"/>
    <mergeCell ref="BN5:BP5"/>
    <mergeCell ref="BQ5:BS5"/>
    <mergeCell ref="BT5:BV5"/>
    <mergeCell ref="AD5:AF5"/>
    <mergeCell ref="AG5:AI5"/>
    <mergeCell ref="AJ5:AL5"/>
    <mergeCell ref="AM5:AO5"/>
    <mergeCell ref="AP5:AR5"/>
    <mergeCell ref="AS5:AU5"/>
    <mergeCell ref="BW5:BY5"/>
    <mergeCell ref="BZ5:CB5"/>
    <mergeCell ref="CC5:CE5"/>
    <mergeCell ref="AV5:AX5"/>
    <mergeCell ref="AY5:BA5"/>
    <mergeCell ref="BB5:BD5"/>
    <mergeCell ref="BE5:BG5"/>
    <mergeCell ref="BH5:BJ5"/>
    <mergeCell ref="BK5:BM5"/>
    <mergeCell ref="CO4:CQ4"/>
    <mergeCell ref="CR4:CT4"/>
    <mergeCell ref="F5:H5"/>
    <mergeCell ref="I5:K5"/>
    <mergeCell ref="L5:N5"/>
    <mergeCell ref="O5:Q5"/>
    <mergeCell ref="R5:T5"/>
    <mergeCell ref="U5:W5"/>
    <mergeCell ref="X5:Z5"/>
    <mergeCell ref="AA5:AC5"/>
    <mergeCell ref="BW4:BY4"/>
    <mergeCell ref="BZ4:CB4"/>
    <mergeCell ref="CC4:CE4"/>
    <mergeCell ref="CF4:CH4"/>
    <mergeCell ref="CI4:CK4"/>
    <mergeCell ref="CL4:CN4"/>
    <mergeCell ref="BT4:BV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AJ4:AL4"/>
    <mergeCell ref="A1:E1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</mergeCells>
  <conditionalFormatting sqref="F7:CT12">
    <cfRule type="expression" dxfId="11" priority="1">
      <formula>IF(F$3="Domingo",TRUE,FALSE)</formula>
    </cfRule>
    <cfRule type="expression" dxfId="10" priority="2">
      <formula>IF(F$3="Sábado",TRUE,FALSE)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9" priority="3" operator="equal">
      <formula>#REF!</formula>
    </cfRule>
    <cfRule type="cellIs" dxfId="8" priority="4" operator="equal">
      <formula>$A$60</formula>
    </cfRule>
    <cfRule type="cellIs" dxfId="7" priority="5" operator="equal">
      <formula>$A$67</formula>
    </cfRule>
    <cfRule type="cellIs" dxfId="6" priority="6" operator="equal">
      <formula>$A$66</formula>
    </cfRule>
    <cfRule type="cellIs" dxfId="5" priority="7" operator="equal">
      <formula>$A$65</formula>
    </cfRule>
    <cfRule type="cellIs" dxfId="4" priority="8" operator="equal">
      <formula>$A$64</formula>
    </cfRule>
    <cfRule type="cellIs" dxfId="3" priority="9" operator="equal">
      <formula>$A$63</formula>
    </cfRule>
  </conditionalFormatting>
  <conditionalFormatting sqref="F7:F12 I7:I12 L7:L12 O7:O12 R7:R12 U7:U12 AJ7:AJ12 AM7:AM12 AP7:AP12 AS7:AS12 AV7:AV12 AY7:AY12 BB7:BB12 BE7:BE12 BH7:BH12 BK7:BK12 BN7:BN12 BQ7:BQ12 BT7:BT12 BW7:BW12 BZ7:BZ12 CC7:CC12 CF7:CF12 CI7:CI12 CL7:CL12 CO7:CO12 CR7:CR12 AD7:AD12 X7:X12 AA7:AA12 AG7:AG12">
    <cfRule type="cellIs" dxfId="2" priority="10" operator="equal">
      <formula>$A$62</formula>
    </cfRule>
    <cfRule type="cellIs" dxfId="1" priority="11" operator="equal">
      <formula>$A$61</formula>
    </cfRule>
    <cfRule type="cellIs" dxfId="0" priority="12" operator="equal">
      <formula>$A$68</formula>
    </cfRule>
  </conditionalFormatting>
  <dataValidations count="2">
    <dataValidation type="list" allowBlank="1" showInputMessage="1" showErrorMessage="1" sqref="CR7:CR12 AG7:AG12 CL7:CL12 CI7:CI12 CF7:CF12 CC7:CC12 BZ7:BZ12 BW7:BW12 BT7:BT12 BQ7:BQ12 BN7:BN12 BK7:BK12 BH7:BH12 BE7:BE12 BB7:BB12 AY7:AY12 AV7:AV12 AS7:AS12 AP7:AP12 AM7:AM12 AJ7:AJ12 AD7:AD12 X7:X12 AA7:AA12 CO7:CO12 U7:U12 R7:R12 O7:O12 L7:L12 I7:I12 F7:F12">
      <formula1>$A$58:$A$68</formula1>
    </dataValidation>
    <dataValidation type="list" allowBlank="1" showInputMessage="1" showErrorMessage="1" sqref="B7:B12">
      <formula1>$B$70:$B$79</formula1>
    </dataValidation>
  </dataValidations>
  <pageMargins left="0.25" right="0.25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USO ANUAL</vt:lpstr>
      <vt:lpstr>MP_Jan.20</vt:lpstr>
      <vt:lpstr>MP_Fev.20</vt:lpstr>
      <vt:lpstr>MP_Mar.20</vt:lpstr>
      <vt:lpstr>MP_Abr.20</vt:lpstr>
      <vt:lpstr>MP_Mai.20</vt:lpstr>
      <vt:lpstr>MP_Jun.20</vt:lpstr>
      <vt:lpstr>MP_Jul.20</vt:lpstr>
      <vt:lpstr>MP_Ago.20</vt:lpstr>
      <vt:lpstr>MP_Set.20</vt:lpstr>
      <vt:lpstr>MP_Out.20</vt:lpstr>
      <vt:lpstr>MP_Nov.20</vt:lpstr>
      <vt:lpstr>MP_Dez.20</vt:lpstr>
    </vt:vector>
  </TitlesOfParts>
  <Company>Hypermarcas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Tanio Cezar Santos Pereira</dc:creator>
  <cp:lastModifiedBy>Marcus Massahiro Sinzato</cp:lastModifiedBy>
  <dcterms:created xsi:type="dcterms:W3CDTF">2019-01-07T16:20:55Z</dcterms:created>
  <dcterms:modified xsi:type="dcterms:W3CDTF">2020-01-21T18:25:03Z</dcterms:modified>
</cp:coreProperties>
</file>